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habiboman.sharepoint.com/sites/nmllreports/Shared Documents/Normal Mgmt Report  - 25/"/>
    </mc:Choice>
  </mc:AlternateContent>
  <xr:revisionPtr revIDLastSave="533" documentId="13_ncr:1_{BAD47E27-98D3-4B22-96D4-26C2AD632331}" xr6:coauthVersionLast="47" xr6:coauthVersionMax="47" xr10:uidLastSave="{CD703EAB-177A-4968-AAA3-DCD49946547B}"/>
  <bookViews>
    <workbookView xWindow="-120" yWindow="-120" windowWidth="29040" windowHeight="17640" tabRatio="753" firstSheet="8" activeTab="12" xr2:uid="{00000000-000D-0000-FFFF-FFFF00000000}"/>
  </bookViews>
  <sheets>
    <sheet name="Jan" sheetId="64" r:id="rId1"/>
    <sheet name="Feb" sheetId="65" r:id="rId2"/>
    <sheet name="Mar" sheetId="66" r:id="rId3"/>
    <sheet name="Apr" sheetId="67" r:id="rId4"/>
    <sheet name="May" sheetId="68" r:id="rId5"/>
    <sheet name="June" sheetId="69" r:id="rId6"/>
    <sheet name="July" sheetId="70" r:id="rId7"/>
    <sheet name="Aug" sheetId="71" r:id="rId8"/>
    <sheet name="Sep" sheetId="72" r:id="rId9"/>
    <sheet name="Oct" sheetId="73" r:id="rId10"/>
    <sheet name="Nov" sheetId="74" r:id="rId11"/>
    <sheet name="Dec" sheetId="75" r:id="rId12"/>
    <sheet name="Consolidate" sheetId="49" r:id="rId1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49" l="1"/>
  <c r="N36" i="49"/>
  <c r="N24" i="49"/>
  <c r="N5" i="49"/>
  <c r="H11" i="75"/>
  <c r="F15" i="75"/>
  <c r="N7" i="49" s="1"/>
  <c r="E15" i="75"/>
  <c r="G12" i="75"/>
  <c r="G15" i="75" s="1"/>
  <c r="H8" i="75"/>
  <c r="H7" i="75"/>
  <c r="H15" i="75" s="1"/>
  <c r="O5" i="49"/>
  <c r="M19" i="49"/>
  <c r="M12" i="49"/>
  <c r="M36" i="49" l="1"/>
  <c r="H17" i="74"/>
  <c r="F15" i="74"/>
  <c r="F19" i="74" s="1"/>
  <c r="M7" i="49" s="1"/>
  <c r="E15" i="74"/>
  <c r="M5" i="49" s="1"/>
  <c r="G12" i="74"/>
  <c r="G15" i="74" s="1"/>
  <c r="H11" i="74"/>
  <c r="H8" i="74"/>
  <c r="H7" i="74"/>
  <c r="H15" i="74"/>
  <c r="H19" i="74" s="1"/>
  <c r="M24" i="49" s="1"/>
  <c r="L36" i="49"/>
  <c r="K36" i="49"/>
  <c r="L19" i="49"/>
  <c r="L12" i="49"/>
  <c r="H11" i="73"/>
  <c r="H7" i="73"/>
  <c r="H6" i="73"/>
  <c r="H17" i="73"/>
  <c r="F15" i="73"/>
  <c r="F19" i="73" s="1"/>
  <c r="L7" i="49" s="1"/>
  <c r="E15" i="73"/>
  <c r="L5" i="49" s="1"/>
  <c r="G12" i="73"/>
  <c r="G15" i="73" s="1"/>
  <c r="H8" i="73"/>
  <c r="H15" i="73"/>
  <c r="H19" i="73" s="1"/>
  <c r="L24" i="49" s="1"/>
  <c r="J36" i="49"/>
  <c r="K19" i="49"/>
  <c r="K12" i="49"/>
  <c r="H11" i="72"/>
  <c r="H5" i="72"/>
  <c r="G12" i="72" l="1"/>
  <c r="H17" i="72"/>
  <c r="G15" i="72"/>
  <c r="F15" i="72"/>
  <c r="F19" i="72" s="1"/>
  <c r="K7" i="49" s="1"/>
  <c r="E15" i="72"/>
  <c r="K5" i="49" s="1"/>
  <c r="H8" i="72"/>
  <c r="H15" i="72"/>
  <c r="H19" i="72" s="1"/>
  <c r="K24" i="49" s="1"/>
  <c r="J19" i="49"/>
  <c r="J12" i="49"/>
  <c r="H17" i="71"/>
  <c r="H8" i="71"/>
  <c r="G15" i="71"/>
  <c r="F15" i="71"/>
  <c r="F19" i="71" s="1"/>
  <c r="J7" i="49" s="1"/>
  <c r="E15" i="71"/>
  <c r="J5" i="49" s="1"/>
  <c r="H12" i="71"/>
  <c r="H11" i="71"/>
  <c r="H7" i="71"/>
  <c r="H15" i="71"/>
  <c r="H19" i="71" s="1"/>
  <c r="J24" i="49" s="1"/>
  <c r="I19" i="49"/>
  <c r="I12" i="49"/>
  <c r="I36" i="49" l="1"/>
  <c r="H17" i="70"/>
  <c r="G15" i="70"/>
  <c r="F15" i="70"/>
  <c r="E15" i="70"/>
  <c r="I5" i="49" s="1"/>
  <c r="H12" i="70"/>
  <c r="H11" i="70"/>
  <c r="H7" i="70"/>
  <c r="H5" i="70"/>
  <c r="H15" i="70" s="1"/>
  <c r="H19" i="70" s="1"/>
  <c r="I24" i="49" s="1"/>
  <c r="H36" i="49"/>
  <c r="F19" i="70" l="1"/>
  <c r="I7" i="49"/>
  <c r="H17" i="69"/>
  <c r="H5" i="69"/>
  <c r="G15" i="69"/>
  <c r="F15" i="69"/>
  <c r="F19" i="69" s="1"/>
  <c r="H7" i="49" s="1"/>
  <c r="E15" i="69"/>
  <c r="H5" i="49" s="1"/>
  <c r="H12" i="69"/>
  <c r="H11" i="69"/>
  <c r="H8" i="69"/>
  <c r="H7" i="69"/>
  <c r="H15" i="69" s="1"/>
  <c r="H19" i="69" s="1"/>
  <c r="H24" i="49" s="1"/>
  <c r="G36" i="49"/>
  <c r="G19" i="49"/>
  <c r="H17" i="68" l="1"/>
  <c r="H8" i="68"/>
  <c r="G15" i="68"/>
  <c r="F15" i="68"/>
  <c r="F19" i="68" s="1"/>
  <c r="G7" i="49" s="1"/>
  <c r="E15" i="68"/>
  <c r="G5" i="49" s="1"/>
  <c r="H12" i="68"/>
  <c r="H11" i="68"/>
  <c r="H7" i="68"/>
  <c r="H15" i="68"/>
  <c r="H19" i="68" s="1"/>
  <c r="G24" i="49" s="1"/>
  <c r="F36" i="49"/>
  <c r="H17" i="67"/>
  <c r="H7" i="67"/>
  <c r="F19" i="49"/>
  <c r="F12" i="49"/>
  <c r="G15" i="67" l="1"/>
  <c r="F15" i="67"/>
  <c r="F19" i="67" s="1"/>
  <c r="F7" i="49" s="1"/>
  <c r="E15" i="67"/>
  <c r="F5" i="49" s="1"/>
  <c r="H12" i="67"/>
  <c r="H11" i="67"/>
  <c r="H5" i="67"/>
  <c r="H15" i="67" s="1"/>
  <c r="H19" i="67" s="1"/>
  <c r="F24" i="49" s="1"/>
  <c r="E36" i="49" l="1"/>
  <c r="H7" i="66"/>
  <c r="E19" i="49"/>
  <c r="H17" i="66"/>
  <c r="G15" i="66"/>
  <c r="F15" i="66"/>
  <c r="E7" i="49" s="1"/>
  <c r="E15" i="66"/>
  <c r="E5" i="49" s="1"/>
  <c r="H12" i="66"/>
  <c r="H11" i="66"/>
  <c r="H8" i="66"/>
  <c r="H5" i="66"/>
  <c r="H15" i="66" s="1"/>
  <c r="H19" i="66" s="1"/>
  <c r="E24" i="49" s="1"/>
  <c r="D36" i="49"/>
  <c r="H11" i="65"/>
  <c r="H9" i="65"/>
  <c r="H8" i="65"/>
  <c r="H7" i="65"/>
  <c r="D19" i="49"/>
  <c r="D12" i="49"/>
  <c r="H17" i="65"/>
  <c r="G15" i="65"/>
  <c r="F15" i="65"/>
  <c r="D7" i="49" s="1"/>
  <c r="E15" i="65"/>
  <c r="D5" i="49" s="1"/>
  <c r="H12" i="65"/>
  <c r="H5" i="65"/>
  <c r="H15" i="65" s="1"/>
  <c r="H19" i="65" s="1"/>
  <c r="D24" i="49" s="1"/>
  <c r="H7" i="64"/>
  <c r="H17" i="64"/>
  <c r="C19" i="49"/>
  <c r="H11" i="64"/>
  <c r="H5" i="64"/>
  <c r="G15" i="64" l="1"/>
  <c r="F15" i="64"/>
  <c r="C7" i="49" s="1"/>
  <c r="E15" i="64"/>
  <c r="C5" i="49" s="1"/>
  <c r="H12" i="64"/>
  <c r="H15" i="64"/>
  <c r="H19" i="64" s="1"/>
  <c r="C24" i="49" s="1"/>
  <c r="N42" i="49" l="1"/>
  <c r="M42" i="49"/>
  <c r="L42" i="49"/>
  <c r="K42" i="49"/>
  <c r="J42" i="49"/>
  <c r="I42" i="49"/>
  <c r="H42" i="49"/>
  <c r="G42" i="49"/>
  <c r="F42" i="49"/>
  <c r="E42" i="49"/>
  <c r="D42" i="49"/>
  <c r="C36" i="49"/>
  <c r="C42" i="49" s="1"/>
  <c r="N20" i="49"/>
  <c r="N22" i="49" s="1"/>
  <c r="M20" i="49"/>
  <c r="M22" i="49" s="1"/>
  <c r="L20" i="49"/>
  <c r="L22" i="49" s="1"/>
  <c r="I20" i="49"/>
  <c r="G20" i="49"/>
  <c r="F20" i="49"/>
  <c r="F22" i="49" s="1"/>
  <c r="E20" i="49"/>
  <c r="E22" i="49" s="1"/>
  <c r="D20" i="49"/>
  <c r="C20" i="49"/>
  <c r="O17" i="49"/>
  <c r="O16" i="49"/>
  <c r="O15" i="49"/>
  <c r="O14" i="49"/>
  <c r="O13" i="49"/>
  <c r="I22" i="49" l="1"/>
  <c r="O19" i="49"/>
  <c r="G22" i="49"/>
  <c r="K20" i="49"/>
  <c r="K22" i="49" s="1"/>
  <c r="O11" i="49"/>
  <c r="J20" i="49"/>
  <c r="O12" i="49"/>
  <c r="H20" i="49" l="1"/>
  <c r="O18" i="49"/>
  <c r="D22" i="49"/>
  <c r="H22" i="49" l="1"/>
  <c r="O20" i="49"/>
  <c r="C22" i="49"/>
  <c r="O7" i="49" l="1"/>
  <c r="J22" i="49"/>
  <c r="O22" i="49" s="1"/>
</calcChain>
</file>

<file path=xl/sharedStrings.xml><?xml version="1.0" encoding="utf-8"?>
<sst xmlns="http://schemas.openxmlformats.org/spreadsheetml/2006/main" count="714" uniqueCount="201">
  <si>
    <t>UNIT NO</t>
  </si>
  <si>
    <t>TYPE</t>
  </si>
  <si>
    <t>TENANT NAME</t>
  </si>
  <si>
    <t>RENT RECD</t>
  </si>
  <si>
    <t>RENT PER</t>
  </si>
  <si>
    <t>COLLECTION IN</t>
  </si>
  <si>
    <t xml:space="preserve">INCOME </t>
  </si>
  <si>
    <t>OUTSTANDING</t>
  </si>
  <si>
    <t>UPTO</t>
  </si>
  <si>
    <t xml:space="preserve"> MONTH</t>
  </si>
  <si>
    <t>JAN'25</t>
  </si>
  <si>
    <t>FOR JAN'25</t>
  </si>
  <si>
    <t>AS ON 31/01/2025</t>
  </si>
  <si>
    <t>1323 - AL FALAJ</t>
  </si>
  <si>
    <t xml:space="preserve"> </t>
  </si>
  <si>
    <t>01</t>
  </si>
  <si>
    <t>2BR</t>
  </si>
  <si>
    <t>VIMAL KUMAR</t>
  </si>
  <si>
    <t>31.12.2024</t>
  </si>
  <si>
    <t>02</t>
  </si>
  <si>
    <t>PRAKASH ANANTHARAMAN SUNDARAM</t>
  </si>
  <si>
    <t>31.01.2025</t>
  </si>
  <si>
    <t>03</t>
  </si>
  <si>
    <t>MARK ONE GENERAL TRADG LLC</t>
  </si>
  <si>
    <t>30.11.2024</t>
  </si>
  <si>
    <t xml:space="preserve">VINOD BHASKARAN </t>
  </si>
  <si>
    <t>24.02.2025</t>
  </si>
  <si>
    <t>PRASHANT PRABHAKARAN</t>
  </si>
  <si>
    <t xml:space="preserve">KRISHNAKUMAR SANTHOSHKUMAR </t>
  </si>
  <si>
    <t>1BR</t>
  </si>
  <si>
    <t xml:space="preserve">VIMAL JAYAN </t>
  </si>
  <si>
    <t>04.01.2025</t>
  </si>
  <si>
    <t>VACANT</t>
  </si>
  <si>
    <t>SAMANT HEMANT YASHWANT</t>
  </si>
  <si>
    <t>TOTAL COLLECTION</t>
  </si>
  <si>
    <t>Old Outstanding</t>
  </si>
  <si>
    <t>SHAROON ABDUL AL SALAM</t>
  </si>
  <si>
    <t>30/06/2024</t>
  </si>
  <si>
    <t>FEB'25</t>
  </si>
  <si>
    <t>FOR MAR'25</t>
  </si>
  <si>
    <t>AS ON 28.02.2025</t>
  </si>
  <si>
    <t>28.02.2025</t>
  </si>
  <si>
    <t>MAR'25</t>
  </si>
  <si>
    <t>AS ON 31.03.2025</t>
  </si>
  <si>
    <t>31.03.2025</t>
  </si>
  <si>
    <t>24.03.2025</t>
  </si>
  <si>
    <t>04.02.2025</t>
  </si>
  <si>
    <t>30.04.2025</t>
  </si>
  <si>
    <t>APR'25</t>
  </si>
  <si>
    <t>FOR APR'25</t>
  </si>
  <si>
    <t>AS ON 30/04/2025</t>
  </si>
  <si>
    <t>24.05.2025</t>
  </si>
  <si>
    <t>04.03.2025</t>
  </si>
  <si>
    <t>31.05.2025</t>
  </si>
  <si>
    <t>31.07.2024</t>
  </si>
  <si>
    <t xml:space="preserve">TOTAL </t>
  </si>
  <si>
    <t>MAY'25</t>
  </si>
  <si>
    <t>FOR MAY'25</t>
  </si>
  <si>
    <t>AS ON 31/05/2025</t>
  </si>
  <si>
    <t>04.04.2025</t>
  </si>
  <si>
    <t>30.06.2025</t>
  </si>
  <si>
    <t>31.08.2024</t>
  </si>
  <si>
    <t>JUNE'25</t>
  </si>
  <si>
    <t>FOR JUNE'25</t>
  </si>
  <si>
    <t>AS ON 30/06/2025</t>
  </si>
  <si>
    <t>24.06.2025</t>
  </si>
  <si>
    <t>31.07.2025</t>
  </si>
  <si>
    <t>04.05.2025</t>
  </si>
  <si>
    <t>30.09.2024</t>
  </si>
  <si>
    <t>JULY'25</t>
  </si>
  <si>
    <t>FOR JULY'25</t>
  </si>
  <si>
    <t>AS ON 31/07/2025</t>
  </si>
  <si>
    <t>24.08.2025</t>
  </si>
  <si>
    <t>31.08.2025</t>
  </si>
  <si>
    <t>04.06.2025</t>
  </si>
  <si>
    <t>AUG'25</t>
  </si>
  <si>
    <t>FOR AUG'25</t>
  </si>
  <si>
    <t>AS ON 31/08/2025</t>
  </si>
  <si>
    <t>04.07.2025</t>
  </si>
  <si>
    <t>30.09.2025</t>
  </si>
  <si>
    <t>31.10.2024</t>
  </si>
  <si>
    <t>SEP'25</t>
  </si>
  <si>
    <t>FOR SEP'25</t>
  </si>
  <si>
    <t>AS ON 30/09/2025</t>
  </si>
  <si>
    <t>24.09.2025</t>
  </si>
  <si>
    <t>31.10.2025</t>
  </si>
  <si>
    <t>04.09.2025</t>
  </si>
  <si>
    <t>MOHAMMED IRSHAD GHOUSE - From 16.09.2025</t>
  </si>
  <si>
    <t>15.10.2025</t>
  </si>
  <si>
    <t>OCT'25</t>
  </si>
  <si>
    <t>FOR OCT'25</t>
  </si>
  <si>
    <t>AS ON 31.10.2025</t>
  </si>
  <si>
    <t>24.10.2025</t>
  </si>
  <si>
    <t xml:space="preserve">MOHAMMED IRSHAD GHOUSE </t>
  </si>
  <si>
    <t>15.11.2025</t>
  </si>
  <si>
    <t>30.11.2025</t>
  </si>
  <si>
    <t>NOV'25</t>
  </si>
  <si>
    <t>FOR NOV'25</t>
  </si>
  <si>
    <t>AS ON 30.11.2025</t>
  </si>
  <si>
    <t>24.11.2025</t>
  </si>
  <si>
    <t>31.12.2025</t>
  </si>
  <si>
    <t>04.11.2025</t>
  </si>
  <si>
    <t>15.12.2025</t>
  </si>
  <si>
    <t>1323 - Al Falaj Building</t>
  </si>
  <si>
    <t>Property Management Monthly Report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</si>
  <si>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</si>
  <si>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</si>
  <si>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</si>
  <si>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</si>
  <si>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</si>
  <si>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</si>
  <si>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</si>
  <si>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</si>
  <si>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</si>
  <si>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</si>
  <si>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</si>
  <si>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</si>
  <si>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</si>
  <si>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YTD TOTAL</t>
  </si>
  <si>
    <t>General Income Overview</t>
  </si>
  <si>
    <t>Income as per rental agreement</t>
  </si>
  <si>
    <t>الايجار</t>
  </si>
  <si>
    <t xml:space="preserve">Collection </t>
  </si>
  <si>
    <t>التحصيلات</t>
  </si>
  <si>
    <t>Expenses</t>
  </si>
  <si>
    <t xml:space="preserve"> EXPENSES OVERVIEW</t>
  </si>
  <si>
    <t>Muncipal Tax</t>
  </si>
  <si>
    <t>رسوم البلدية</t>
  </si>
  <si>
    <t>Management Fees</t>
  </si>
  <si>
    <t>رسوم الإدارة</t>
  </si>
  <si>
    <t>Value Added Tax (VAT)</t>
  </si>
  <si>
    <t>ضريبة القيمة المضافة</t>
  </si>
  <si>
    <t>Annual Maint. Cont. - A C, FAS, Lift &amp; Others</t>
  </si>
  <si>
    <t>عقود الصيانة السنوية</t>
  </si>
  <si>
    <t>Sewage Removal</t>
  </si>
  <si>
    <t>تفريغ الصرف الصحي</t>
  </si>
  <si>
    <t>Common Area E/Water Charges</t>
  </si>
  <si>
    <t>استهلاك الماء و الكهرباء للاماكن العامة</t>
  </si>
  <si>
    <t>Legal Expenses</t>
  </si>
  <si>
    <t>المصاريف القانونية</t>
  </si>
  <si>
    <t>A C, FAS, Lift, etc. Repair Charges - (a)</t>
  </si>
  <si>
    <t>تصليح المكيفات، أجهزة الحريق، المصعد، الخ</t>
  </si>
  <si>
    <t>Electric, Plumbing, Repair &amp; Maint - (b)</t>
  </si>
  <si>
    <t>التصليحات الكهربائية، الميكانيكية، النجارة</t>
  </si>
  <si>
    <t>Total Expenses</t>
  </si>
  <si>
    <t>اجمالي المصروفات</t>
  </si>
  <si>
    <t>Amount Transfer to Land Lord</t>
  </si>
  <si>
    <t>صافي الدخل منذ بداية السنة (التحصيل - المصروفات)</t>
  </si>
  <si>
    <t>Overdues To Date</t>
  </si>
  <si>
    <t>NA</t>
  </si>
  <si>
    <t>المستحقات منذ بداية السنة</t>
  </si>
  <si>
    <t xml:space="preserve">Operational Information </t>
  </si>
  <si>
    <t xml:space="preserve">Details </t>
  </si>
  <si>
    <t>YR TOTAL</t>
  </si>
  <si>
    <t xml:space="preserve">Occupany </t>
  </si>
  <si>
    <t xml:space="preserve">Total Number of Units </t>
  </si>
  <si>
    <t>عدد الوحدات الايجارية</t>
  </si>
  <si>
    <t>New Leased Residential Units</t>
  </si>
  <si>
    <t>وحدة سكنية تم تأجيرها</t>
  </si>
  <si>
    <t>New Leased Commercial Units</t>
  </si>
  <si>
    <t>وحدة تجارية تم تأجيرها</t>
  </si>
  <si>
    <t>Total Occupied Residential Units</t>
  </si>
  <si>
    <t>الوحدات السكنية المشغولة</t>
  </si>
  <si>
    <t>Total Occupied Commercial Units</t>
  </si>
  <si>
    <t>الوحدات التجارية المشغولة</t>
  </si>
  <si>
    <t>Total Occupied Units</t>
  </si>
  <si>
    <t>مجموع الوحدات المشغولة</t>
  </si>
  <si>
    <t>Vacant Residential Units</t>
  </si>
  <si>
    <t>الوحدات السكنية الشاغرة</t>
  </si>
  <si>
    <t>Vacant Commercial Units</t>
  </si>
  <si>
    <t>الوحدات التجارية الشاغرة</t>
  </si>
  <si>
    <t xml:space="preserve">Residential Units Under Evacuation </t>
  </si>
  <si>
    <t>وحدات سكنية قيد الاخلاء</t>
  </si>
  <si>
    <t xml:space="preserve">Commercial Units Under Evacuation </t>
  </si>
  <si>
    <t>وحدات تجارية قيد الاخلاء</t>
  </si>
  <si>
    <t>Total Building Occupancy  Level</t>
  </si>
  <si>
    <t>معدل اشغال العقار</t>
  </si>
  <si>
    <t xml:space="preserve">Legal  </t>
  </si>
  <si>
    <t>Narration</t>
  </si>
  <si>
    <t>Defaulters</t>
  </si>
  <si>
    <t>Notes</t>
  </si>
  <si>
    <t xml:space="preserve">Maintenance </t>
  </si>
  <si>
    <t>الصيانة</t>
  </si>
  <si>
    <t xml:space="preserve">Collections </t>
  </si>
  <si>
    <t>المتوقفين عن السداد</t>
  </si>
  <si>
    <t>القضايا القانونية</t>
  </si>
  <si>
    <t xml:space="preserve">Overall Building Conditions </t>
  </si>
  <si>
    <t>الحالة العامة للمبنى</t>
  </si>
  <si>
    <t xml:space="preserve">Required Approvals </t>
  </si>
  <si>
    <t>الاعتمادات المطلوبة</t>
  </si>
  <si>
    <t>Recommendations</t>
  </si>
  <si>
    <t>توصيات</t>
  </si>
  <si>
    <t xml:space="preserve">Other </t>
  </si>
  <si>
    <t>أخرى</t>
  </si>
  <si>
    <t>DEC'25</t>
  </si>
  <si>
    <t>FOR DEC'25</t>
  </si>
  <si>
    <t>AS ON 31.12.2025</t>
  </si>
  <si>
    <t>24.12.2025</t>
  </si>
  <si>
    <t>31.01.2026</t>
  </si>
  <si>
    <t>04.12.2025</t>
  </si>
  <si>
    <t>15.01.2026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</si>
</sst>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([$OMR]\ * #,##0.00_);_([$OMR]\ * \(#,##0.00\);_([$OMR]\ * &quot;-&quot;??_);_(@_)"/>
    <numFmt numFmtId="167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8"/>
      <color indexed="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0"/>
      <name val="Century Gothic"/>
      <family val="1"/>
    </font>
    <font>
      <sz val="10"/>
      <name val="Century Gothic"/>
      <family val="1"/>
    </font>
    <font>
      <b/>
      <sz val="1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10"/>
      <color theme="2" tint="-0.89999084444715716"/>
      <name val="Century Gothic"/>
      <family val="1"/>
    </font>
    <font>
      <sz val="10"/>
      <name val="Calibri"/>
      <family val="2"/>
      <scheme val="minor"/>
    </font>
    <font>
      <sz val="10"/>
      <name val="Century Gothic"/>
      <family val="2"/>
    </font>
    <font>
      <sz val="12"/>
      <name val="Calibri Light"/>
      <family val="2"/>
    </font>
    <font>
      <b/>
      <sz val="12"/>
      <name val="Calibri Light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64" fontId="6" fillId="0" borderId="0" xfId="1" applyNumberFormat="1" applyFont="1" applyAlignment="1"/>
    <xf numFmtId="164" fontId="5" fillId="0" borderId="0" xfId="1" applyNumberFormat="1" applyFont="1" applyAlignment="1"/>
    <xf numFmtId="164" fontId="5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5" fillId="0" borderId="0" xfId="1" applyNumberFormat="1" applyFont="1" applyAlignment="1"/>
    <xf numFmtId="0" fontId="7" fillId="0" borderId="0" xfId="0" applyFont="1" applyAlignment="1">
      <alignment horizontal="center"/>
    </xf>
    <xf numFmtId="43" fontId="7" fillId="0" borderId="0" xfId="1" applyFont="1" applyAlignment="1"/>
    <xf numFmtId="164" fontId="7" fillId="0" borderId="0" xfId="1" applyNumberFormat="1" applyFont="1" applyAlignment="1"/>
    <xf numFmtId="14" fontId="7" fillId="0" borderId="0" xfId="0" quotePrefix="1" applyNumberFormat="1" applyFont="1" applyAlignment="1">
      <alignment horizontal="center"/>
    </xf>
    <xf numFmtId="165" fontId="7" fillId="0" borderId="0" xfId="1" applyNumberFormat="1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3" fontId="9" fillId="0" borderId="0" xfId="1" applyFont="1" applyAlignment="1"/>
    <xf numFmtId="164" fontId="9" fillId="0" borderId="0" xfId="1" quotePrefix="1" applyNumberFormat="1" applyFont="1" applyAlignment="1">
      <alignment horizontal="center"/>
    </xf>
    <xf numFmtId="164" fontId="9" fillId="0" borderId="0" xfId="1" applyNumberFormat="1" applyFont="1" applyAlignment="1"/>
    <xf numFmtId="166" fontId="1" fillId="2" borderId="0" xfId="0" applyNumberFormat="1" applyFont="1" applyFill="1" applyAlignment="1">
      <alignment vertical="center" wrapText="1"/>
    </xf>
    <xf numFmtId="166" fontId="11" fillId="2" borderId="7" xfId="0" applyNumberFormat="1" applyFont="1" applyFill="1" applyBorder="1" applyAlignment="1">
      <alignment vertical="center" wrapText="1"/>
    </xf>
    <xf numFmtId="166" fontId="11" fillId="2" borderId="8" xfId="0" applyNumberFormat="1" applyFont="1" applyFill="1" applyBorder="1" applyAlignment="1">
      <alignment vertical="center" wrapText="1"/>
    </xf>
    <xf numFmtId="166" fontId="12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wrapText="1"/>
    </xf>
    <xf numFmtId="166" fontId="14" fillId="2" borderId="6" xfId="0" applyNumberFormat="1" applyFont="1" applyFill="1" applyBorder="1" applyAlignment="1">
      <alignment horizontal="left" wrapText="1"/>
    </xf>
    <xf numFmtId="166" fontId="14" fillId="2" borderId="6" xfId="0" applyNumberFormat="1" applyFont="1" applyFill="1" applyBorder="1" applyAlignment="1">
      <alignment horizontal="center" wrapText="1"/>
    </xf>
    <xf numFmtId="166" fontId="13" fillId="2" borderId="7" xfId="0" applyNumberFormat="1" applyFont="1" applyFill="1" applyBorder="1" applyAlignment="1">
      <alignment wrapText="1"/>
    </xf>
    <xf numFmtId="166" fontId="13" fillId="2" borderId="7" xfId="0" applyNumberFormat="1" applyFont="1" applyFill="1" applyBorder="1" applyAlignment="1">
      <alignment horizontal="center" wrapText="1"/>
    </xf>
    <xf numFmtId="166" fontId="13" fillId="2" borderId="8" xfId="0" applyNumberFormat="1" applyFont="1" applyFill="1" applyBorder="1" applyAlignment="1">
      <alignment horizontal="center" wrapText="1"/>
    </xf>
    <xf numFmtId="166" fontId="17" fillId="2" borderId="7" xfId="0" applyNumberFormat="1" applyFont="1" applyFill="1" applyBorder="1" applyAlignment="1">
      <alignment horizontal="center" wrapText="1"/>
    </xf>
    <xf numFmtId="166" fontId="17" fillId="2" borderId="7" xfId="0" applyNumberFormat="1" applyFont="1" applyFill="1" applyBorder="1" applyAlignment="1">
      <alignment wrapText="1"/>
    </xf>
    <xf numFmtId="166" fontId="17" fillId="2" borderId="8" xfId="0" applyNumberFormat="1" applyFont="1" applyFill="1" applyBorder="1" applyAlignment="1">
      <alignment wrapText="1"/>
    </xf>
    <xf numFmtId="166" fontId="13" fillId="2" borderId="9" xfId="0" applyNumberFormat="1" applyFont="1" applyFill="1" applyBorder="1" applyAlignment="1">
      <alignment horizontal="left" wrapText="1"/>
    </xf>
    <xf numFmtId="166" fontId="11" fillId="2" borderId="11" xfId="0" applyNumberFormat="1" applyFont="1" applyFill="1" applyBorder="1" applyAlignment="1">
      <alignment horizontal="center" wrapText="1"/>
    </xf>
    <xf numFmtId="166" fontId="17" fillId="2" borderId="12" xfId="0" applyNumberFormat="1" applyFont="1" applyFill="1" applyBorder="1" applyAlignment="1">
      <alignment wrapText="1"/>
    </xf>
    <xf numFmtId="166" fontId="17" fillId="2" borderId="13" xfId="0" applyNumberFormat="1" applyFont="1" applyFill="1" applyBorder="1" applyAlignment="1">
      <alignment wrapText="1"/>
    </xf>
    <xf numFmtId="166" fontId="17" fillId="2" borderId="13" xfId="0" applyNumberFormat="1" applyFont="1" applyFill="1" applyBorder="1" applyAlignment="1">
      <alignment horizontal="center" wrapText="1"/>
    </xf>
    <xf numFmtId="166" fontId="17" fillId="2" borderId="14" xfId="0" applyNumberFormat="1" applyFont="1" applyFill="1" applyBorder="1" applyAlignment="1">
      <alignment wrapText="1"/>
    </xf>
    <xf numFmtId="166" fontId="17" fillId="2" borderId="6" xfId="0" applyNumberFormat="1" applyFont="1" applyFill="1" applyBorder="1" applyAlignment="1">
      <alignment wrapText="1"/>
    </xf>
    <xf numFmtId="166" fontId="13" fillId="2" borderId="6" xfId="0" applyNumberFormat="1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43" fontId="12" fillId="2" borderId="7" xfId="1" applyFont="1" applyFill="1" applyBorder="1" applyAlignment="1">
      <alignment horizontal="center" wrapText="1"/>
    </xf>
    <xf numFmtId="1" fontId="12" fillId="2" borderId="7" xfId="0" applyNumberFormat="1" applyFont="1" applyFill="1" applyBorder="1" applyAlignment="1">
      <alignment horizontal="center" wrapText="1"/>
    </xf>
    <xf numFmtId="41" fontId="11" fillId="2" borderId="8" xfId="0" applyNumberFormat="1" applyFont="1" applyFill="1" applyBorder="1" applyAlignment="1">
      <alignment horizontal="center" wrapText="1"/>
    </xf>
    <xf numFmtId="9" fontId="13" fillId="2" borderId="7" xfId="2" applyFont="1" applyFill="1" applyBorder="1" applyAlignment="1" applyProtection="1">
      <alignment horizontal="center" wrapText="1"/>
    </xf>
    <xf numFmtId="9" fontId="13" fillId="2" borderId="7" xfId="2" applyFont="1" applyFill="1" applyBorder="1" applyAlignment="1">
      <alignment horizontal="center" wrapText="1"/>
    </xf>
    <xf numFmtId="164" fontId="12" fillId="2" borderId="7" xfId="1" applyNumberFormat="1" applyFont="1" applyFill="1" applyBorder="1" applyAlignment="1">
      <alignment horizontal="center" wrapText="1"/>
    </xf>
    <xf numFmtId="166" fontId="1" fillId="2" borderId="0" xfId="0" applyNumberFormat="1" applyFont="1" applyFill="1" applyAlignment="1">
      <alignment horizontal="center" wrapText="1"/>
    </xf>
    <xf numFmtId="166" fontId="13" fillId="4" borderId="6" xfId="0" applyNumberFormat="1" applyFont="1" applyFill="1" applyBorder="1" applyAlignment="1">
      <alignment horizontal="left" wrapText="1"/>
    </xf>
    <xf numFmtId="166" fontId="13" fillId="4" borderId="7" xfId="0" applyNumberFormat="1" applyFont="1" applyFill="1" applyBorder="1" applyAlignment="1">
      <alignment horizontal="center" wrapText="1"/>
    </xf>
    <xf numFmtId="166" fontId="13" fillId="4" borderId="8" xfId="0" applyNumberFormat="1" applyFont="1" applyFill="1" applyBorder="1" applyAlignment="1">
      <alignment horizontal="center" wrapText="1"/>
    </xf>
    <xf numFmtId="166" fontId="17" fillId="2" borderId="12" xfId="0" applyNumberFormat="1" applyFont="1" applyFill="1" applyBorder="1" applyAlignment="1">
      <alignment horizontal="left" wrapText="1"/>
    </xf>
    <xf numFmtId="166" fontId="11" fillId="2" borderId="20" xfId="0" applyNumberFormat="1" applyFont="1" applyFill="1" applyBorder="1" applyAlignment="1">
      <alignment horizontal="left" wrapText="1"/>
    </xf>
    <xf numFmtId="166" fontId="11" fillId="4" borderId="15" xfId="0" applyNumberFormat="1" applyFont="1" applyFill="1" applyBorder="1" applyAlignment="1">
      <alignment horizontal="center" wrapText="1"/>
    </xf>
    <xf numFmtId="166" fontId="19" fillId="4" borderId="23" xfId="0" applyNumberFormat="1" applyFont="1" applyFill="1" applyBorder="1" applyAlignment="1">
      <alignment vertical="center" wrapText="1"/>
    </xf>
    <xf numFmtId="166" fontId="19" fillId="4" borderId="23" xfId="0" applyNumberFormat="1" applyFont="1" applyFill="1" applyBorder="1" applyAlignment="1">
      <alignment horizontal="center" vertical="center" wrapText="1"/>
    </xf>
    <xf numFmtId="166" fontId="19" fillId="2" borderId="7" xfId="0" applyNumberFormat="1" applyFont="1" applyFill="1" applyBorder="1" applyAlignment="1">
      <alignment wrapText="1"/>
    </xf>
    <xf numFmtId="166" fontId="20" fillId="2" borderId="7" xfId="0" applyNumberFormat="1" applyFont="1" applyFill="1" applyBorder="1" applyAlignment="1">
      <alignment wrapText="1"/>
    </xf>
    <xf numFmtId="166" fontId="19" fillId="2" borderId="7" xfId="0" applyNumberFormat="1" applyFont="1" applyFill="1" applyBorder="1" applyAlignment="1">
      <alignment horizontal="center" vertical="center" wrapText="1"/>
    </xf>
    <xf numFmtId="164" fontId="15" fillId="2" borderId="7" xfId="1" applyNumberFormat="1" applyFont="1" applyFill="1" applyBorder="1" applyAlignment="1">
      <alignment wrapText="1"/>
    </xf>
    <xf numFmtId="164" fontId="14" fillId="2" borderId="7" xfId="1" applyNumberFormat="1" applyFont="1" applyFill="1" applyBorder="1" applyAlignment="1">
      <alignment horizontal="center" wrapText="1"/>
    </xf>
    <xf numFmtId="164" fontId="15" fillId="2" borderId="7" xfId="1" applyNumberFormat="1" applyFont="1" applyFill="1" applyBorder="1" applyAlignment="1">
      <alignment horizontal="center" wrapText="1"/>
    </xf>
    <xf numFmtId="164" fontId="1" fillId="2" borderId="7" xfId="1" applyNumberFormat="1" applyFont="1" applyFill="1" applyBorder="1" applyAlignment="1"/>
    <xf numFmtId="164" fontId="12" fillId="2" borderId="7" xfId="1" applyNumberFormat="1" applyFont="1" applyFill="1" applyBorder="1" applyAlignment="1">
      <alignment wrapText="1"/>
    </xf>
    <xf numFmtId="164" fontId="12" fillId="2" borderId="21" xfId="1" applyNumberFormat="1" applyFont="1" applyFill="1" applyBorder="1" applyAlignment="1">
      <alignment horizontal="center" wrapText="1"/>
    </xf>
    <xf numFmtId="164" fontId="12" fillId="2" borderId="21" xfId="1" applyNumberFormat="1" applyFont="1" applyFill="1" applyBorder="1" applyAlignment="1">
      <alignment wrapText="1"/>
    </xf>
    <xf numFmtId="164" fontId="17" fillId="2" borderId="13" xfId="1" applyNumberFormat="1" applyFont="1" applyFill="1" applyBorder="1" applyAlignment="1">
      <alignment horizontal="center" wrapText="1"/>
    </xf>
    <xf numFmtId="164" fontId="17" fillId="2" borderId="13" xfId="1" applyNumberFormat="1" applyFont="1" applyFill="1" applyBorder="1" applyAlignment="1">
      <alignment wrapText="1"/>
    </xf>
    <xf numFmtId="164" fontId="12" fillId="2" borderId="16" xfId="1" applyNumberFormat="1" applyFont="1" applyFill="1" applyBorder="1" applyAlignment="1">
      <alignment horizontal="center" wrapText="1"/>
    </xf>
    <xf numFmtId="164" fontId="12" fillId="2" borderId="16" xfId="1" applyNumberFormat="1" applyFont="1" applyFill="1" applyBorder="1" applyAlignment="1">
      <alignment wrapText="1"/>
    </xf>
    <xf numFmtId="164" fontId="14" fillId="2" borderId="10" xfId="1" applyNumberFormat="1" applyFont="1" applyFill="1" applyBorder="1" applyAlignment="1">
      <alignment horizontal="left" wrapText="1"/>
    </xf>
    <xf numFmtId="164" fontId="14" fillId="2" borderId="10" xfId="1" applyNumberFormat="1" applyFont="1" applyFill="1" applyBorder="1" applyAlignment="1">
      <alignment wrapText="1"/>
    </xf>
    <xf numFmtId="164" fontId="14" fillId="2" borderId="10" xfId="1" applyNumberFormat="1" applyFont="1" applyFill="1" applyBorder="1" applyAlignment="1">
      <alignment horizontal="center" wrapText="1"/>
    </xf>
    <xf numFmtId="166" fontId="11" fillId="2" borderId="6" xfId="0" applyNumberFormat="1" applyFont="1" applyFill="1" applyBorder="1" applyAlignment="1">
      <alignment horizontal="center" wrapText="1"/>
    </xf>
    <xf numFmtId="164" fontId="14" fillId="2" borderId="8" xfId="1" applyNumberFormat="1" applyFont="1" applyFill="1" applyBorder="1" applyAlignment="1">
      <alignment horizontal="center" wrapText="1"/>
    </xf>
    <xf numFmtId="164" fontId="11" fillId="2" borderId="8" xfId="1" applyNumberFormat="1" applyFont="1" applyFill="1" applyBorder="1" applyAlignment="1">
      <alignment horizontal="center" wrapText="1"/>
    </xf>
    <xf numFmtId="164" fontId="11" fillId="2" borderId="19" xfId="1" applyNumberFormat="1" applyFont="1" applyFill="1" applyBorder="1" applyAlignment="1">
      <alignment horizontal="center" wrapText="1"/>
    </xf>
    <xf numFmtId="164" fontId="17" fillId="2" borderId="14" xfId="0" applyNumberFormat="1" applyFont="1" applyFill="1" applyBorder="1" applyAlignment="1">
      <alignment wrapText="1"/>
    </xf>
    <xf numFmtId="166" fontId="13" fillId="5" borderId="6" xfId="0" applyNumberFormat="1" applyFont="1" applyFill="1" applyBorder="1" applyAlignment="1">
      <alignment horizontal="left" wrapText="1"/>
    </xf>
    <xf numFmtId="17" fontId="8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43" fontId="21" fillId="0" borderId="0" xfId="1" applyFont="1" applyAlignment="1"/>
    <xf numFmtId="43" fontId="6" fillId="0" borderId="0" xfId="1" applyFont="1"/>
    <xf numFmtId="164" fontId="13" fillId="2" borderId="7" xfId="1" applyNumberFormat="1" applyFont="1" applyFill="1" applyBorder="1" applyAlignment="1">
      <alignment wrapText="1"/>
    </xf>
    <xf numFmtId="167" fontId="11" fillId="2" borderId="22" xfId="1" applyNumberFormat="1" applyFont="1" applyFill="1" applyBorder="1" applyAlignment="1">
      <alignment horizontal="center" wrapText="1"/>
    </xf>
    <xf numFmtId="167" fontId="11" fillId="2" borderId="17" xfId="1" applyNumberFormat="1" applyFont="1" applyFill="1" applyBorder="1" applyAlignment="1">
      <alignment horizontal="center" wrapText="1"/>
    </xf>
    <xf numFmtId="43" fontId="12" fillId="2" borderId="6" xfId="1" applyFont="1" applyFill="1" applyBorder="1" applyAlignment="1">
      <alignment horizontal="left" wrapText="1"/>
    </xf>
    <xf numFmtId="43" fontId="12" fillId="2" borderId="18" xfId="1" applyFont="1" applyFill="1" applyBorder="1" applyAlignment="1">
      <alignment horizontal="left" wrapText="1"/>
    </xf>
    <xf numFmtId="43" fontId="13" fillId="2" borderId="6" xfId="1" applyFont="1" applyFill="1" applyBorder="1" applyAlignment="1">
      <alignment horizontal="left" wrapText="1"/>
    </xf>
    <xf numFmtId="43" fontId="12" fillId="2" borderId="9" xfId="1" applyFont="1" applyFill="1" applyBorder="1" applyAlignment="1">
      <alignment horizontal="left" wrapText="1"/>
    </xf>
    <xf numFmtId="164" fontId="21" fillId="0" borderId="0" xfId="1" quotePrefix="1" applyNumberFormat="1" applyFont="1" applyAlignment="1">
      <alignment horizontal="center"/>
    </xf>
    <xf numFmtId="164" fontId="21" fillId="0" borderId="0" xfId="1" applyNumberFormat="1" applyFont="1" applyAlignment="1"/>
    <xf numFmtId="164" fontId="7" fillId="0" borderId="0" xfId="1" quotePrefix="1" applyNumberFormat="1" applyFont="1" applyAlignment="1">
      <alignment horizontal="center"/>
    </xf>
    <xf numFmtId="0" fontId="13" fillId="2" borderId="10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4" fontId="18" fillId="2" borderId="7" xfId="0" applyNumberFormat="1" applyFont="1" applyFill="1" applyBorder="1" applyAlignment="1">
      <alignment horizontal="center" wrapText="1"/>
    </xf>
    <xf numFmtId="0" fontId="18" fillId="2" borderId="7" xfId="0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wrapText="1"/>
    </xf>
    <xf numFmtId="0" fontId="13" fillId="2" borderId="7" xfId="0" applyFont="1" applyFill="1" applyBorder="1" applyAlignment="1">
      <alignment horizontal="right" wrapText="1"/>
    </xf>
    <xf numFmtId="0" fontId="13" fillId="2" borderId="8" xfId="0" applyFont="1" applyFill="1" applyBorder="1" applyAlignment="1">
      <alignment horizontal="right" wrapText="1"/>
    </xf>
    <xf numFmtId="166" fontId="11" fillId="4" borderId="1" xfId="0" applyNumberFormat="1" applyFont="1" applyFill="1" applyBorder="1" applyAlignment="1">
      <alignment horizontal="center" wrapText="1"/>
    </xf>
    <xf numFmtId="166" fontId="11" fillId="4" borderId="2" xfId="0" applyNumberFormat="1" applyFont="1" applyFill="1" applyBorder="1" applyAlignment="1">
      <alignment horizontal="center" wrapText="1"/>
    </xf>
    <xf numFmtId="166" fontId="11" fillId="2" borderId="6" xfId="0" applyNumberFormat="1" applyFont="1" applyFill="1" applyBorder="1" applyAlignment="1">
      <alignment horizontal="center" vertical="center" wrapText="1"/>
    </xf>
    <xf numFmtId="166" fontId="11" fillId="2" borderId="7" xfId="0" applyNumberFormat="1" applyFont="1" applyFill="1" applyBorder="1" applyAlignment="1">
      <alignment horizontal="center" vertical="center" wrapText="1"/>
    </xf>
    <xf numFmtId="166" fontId="11" fillId="2" borderId="6" xfId="0" applyNumberFormat="1" applyFont="1" applyFill="1" applyBorder="1" applyAlignment="1">
      <alignment horizontal="center" wrapText="1"/>
    </xf>
    <xf numFmtId="166" fontId="11" fillId="2" borderId="7" xfId="0" applyNumberFormat="1" applyFont="1" applyFill="1" applyBorder="1" applyAlignment="1">
      <alignment horizontal="center" wrapText="1"/>
    </xf>
    <xf numFmtId="166" fontId="11" fillId="2" borderId="8" xfId="0" applyNumberFormat="1" applyFont="1" applyFill="1" applyBorder="1" applyAlignment="1">
      <alignment horizontal="center" wrapText="1"/>
    </xf>
    <xf numFmtId="166" fontId="16" fillId="4" borderId="6" xfId="0" applyNumberFormat="1" applyFont="1" applyFill="1" applyBorder="1" applyAlignment="1">
      <alignment horizontal="center" wrapText="1"/>
    </xf>
    <xf numFmtId="166" fontId="16" fillId="4" borderId="7" xfId="0" applyNumberFormat="1" applyFont="1" applyFill="1" applyBorder="1" applyAlignment="1">
      <alignment horizontal="center" wrapText="1"/>
    </xf>
    <xf numFmtId="166" fontId="16" fillId="4" borderId="8" xfId="0" applyNumberFormat="1" applyFont="1" applyFill="1" applyBorder="1" applyAlignment="1">
      <alignment horizontal="center" wrapText="1"/>
    </xf>
    <xf numFmtId="166" fontId="11" fillId="4" borderId="6" xfId="0" applyNumberFormat="1" applyFont="1" applyFill="1" applyBorder="1" applyAlignment="1">
      <alignment horizontal="center" wrapText="1"/>
    </xf>
    <xf numFmtId="166" fontId="11" fillId="4" borderId="7" xfId="0" applyNumberFormat="1" applyFont="1" applyFill="1" applyBorder="1" applyAlignment="1">
      <alignment horizontal="center" wrapText="1"/>
    </xf>
    <xf numFmtId="166" fontId="11" fillId="4" borderId="8" xfId="0" applyNumberFormat="1" applyFont="1" applyFill="1" applyBorder="1" applyAlignment="1">
      <alignment horizontal="center" wrapText="1"/>
    </xf>
    <xf numFmtId="0" fontId="11" fillId="4" borderId="6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center" wrapText="1"/>
    </xf>
    <xf numFmtId="0" fontId="11" fillId="4" borderId="8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1" fillId="3" borderId="8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817A-3E3E-4795-8D19-0105A57ED918}">
  <dimension ref="A1:H49"/>
  <sheetViews>
    <sheetView workbookViewId="0">
      <selection activeCell="D9" sqref="D9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81" t="s">
        <v>10</v>
      </c>
      <c r="G2" s="15" t="s">
        <v>11</v>
      </c>
      <c r="H2" s="15" t="s">
        <v>12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18</v>
      </c>
      <c r="E5" s="12">
        <v>210</v>
      </c>
      <c r="F5" s="12">
        <v>210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21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24</v>
      </c>
      <c r="E7" s="19">
        <v>210</v>
      </c>
      <c r="F7" s="19">
        <v>0</v>
      </c>
      <c r="G7" s="12">
        <v>210</v>
      </c>
      <c r="H7" s="14">
        <f>E7*2</f>
        <v>420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26</v>
      </c>
      <c r="E8" s="12">
        <v>210</v>
      </c>
      <c r="F8" s="12">
        <v>210</v>
      </c>
      <c r="G8" s="12">
        <v>210</v>
      </c>
      <c r="H8" s="6">
        <v>0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21</v>
      </c>
      <c r="E9" s="12">
        <v>210</v>
      </c>
      <c r="F9" s="12">
        <v>210</v>
      </c>
      <c r="G9" s="12">
        <v>210</v>
      </c>
      <c r="H9" s="6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21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31</v>
      </c>
      <c r="E11" s="12">
        <v>150</v>
      </c>
      <c r="F11" s="12">
        <v>150</v>
      </c>
      <c r="G11" s="12">
        <v>150</v>
      </c>
      <c r="H11" s="6">
        <f>E11/30*26</f>
        <v>130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21</v>
      </c>
      <c r="E13" s="12">
        <v>210</v>
      </c>
      <c r="F13" s="12">
        <v>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1190</v>
      </c>
      <c r="G15" s="5">
        <f>SUM(G5:G14)</f>
        <v>1610</v>
      </c>
      <c r="H15" s="5">
        <f>SUM(H5:H14)</f>
        <v>760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37</v>
      </c>
      <c r="E17" s="12">
        <v>150</v>
      </c>
      <c r="F17" s="12">
        <v>0</v>
      </c>
      <c r="G17" s="12">
        <v>0</v>
      </c>
      <c r="H17" s="12">
        <f>E17*6</f>
        <v>900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/>
      <c r="D19" s="4"/>
      <c r="E19" s="5"/>
      <c r="F19" s="5"/>
      <c r="G19" s="5"/>
      <c r="H19" s="5">
        <f>SUM(H15:H18)</f>
        <v>1660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2C68-1BAA-4BDB-9B60-D6E8CCA02A6F}">
  <dimension ref="A1:H49"/>
  <sheetViews>
    <sheetView workbookViewId="0">
      <selection activeCell="D9" sqref="D9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81" t="s">
        <v>38</v>
      </c>
      <c r="G2" s="15" t="s">
        <v>39</v>
      </c>
      <c r="H2" s="15" t="s">
        <v>40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21</v>
      </c>
      <c r="E5" s="12">
        <v>210</v>
      </c>
      <c r="F5" s="12">
        <v>210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41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21</v>
      </c>
      <c r="E7" s="19">
        <v>210</v>
      </c>
      <c r="F7" s="19">
        <v>420</v>
      </c>
      <c r="G7" s="12">
        <v>210</v>
      </c>
      <c r="H7" s="14">
        <f>E7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26</v>
      </c>
      <c r="E8" s="12">
        <v>210</v>
      </c>
      <c r="F8" s="12">
        <v>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21</v>
      </c>
      <c r="E9" s="12">
        <v>210</v>
      </c>
      <c r="F9" s="12">
        <v>0</v>
      </c>
      <c r="G9" s="12">
        <v>210</v>
      </c>
      <c r="H9" s="14">
        <f>E9</f>
        <v>210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41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31</v>
      </c>
      <c r="E11" s="12">
        <v>150</v>
      </c>
      <c r="F11" s="12">
        <v>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41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1250</v>
      </c>
      <c r="G15" s="5">
        <f>SUM(G5:G14)</f>
        <v>1610</v>
      </c>
      <c r="H15" s="5">
        <f>SUM(H5:H14)</f>
        <v>952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37</v>
      </c>
      <c r="E17" s="12">
        <v>150</v>
      </c>
      <c r="F17" s="12">
        <v>0</v>
      </c>
      <c r="G17" s="12">
        <v>0</v>
      </c>
      <c r="H17" s="12">
        <f>E17*6</f>
        <v>900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/>
      <c r="D19" s="4"/>
      <c r="E19" s="5"/>
      <c r="F19" s="5"/>
      <c r="G19" s="5"/>
      <c r="H19" s="5">
        <f>SUM(H15:H18)</f>
        <v>1852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7" numberStoredAsText="1"/>
    <ignoredError sqref="H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D36D-A355-4391-A2A2-F0E18DE3C889}">
  <dimension ref="A1:H49"/>
  <sheetViews>
    <sheetView workbookViewId="0">
      <selection sqref="A1:XFD1048576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81" t="s">
        <v>42</v>
      </c>
      <c r="G2" s="15" t="s">
        <v>39</v>
      </c>
      <c r="H2" s="15" t="s">
        <v>43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41</v>
      </c>
      <c r="E5" s="12">
        <v>210</v>
      </c>
      <c r="F5" s="12">
        <v>210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44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21</v>
      </c>
      <c r="E7" s="19">
        <v>210</v>
      </c>
      <c r="F7" s="19">
        <v>0</v>
      </c>
      <c r="G7" s="12">
        <v>210</v>
      </c>
      <c r="H7" s="14">
        <f>E7*2</f>
        <v>420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45</v>
      </c>
      <c r="E8" s="12">
        <v>210</v>
      </c>
      <c r="F8" s="12">
        <v>210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44</v>
      </c>
      <c r="E9" s="12">
        <v>210</v>
      </c>
      <c r="F9" s="12">
        <v>420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44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46</v>
      </c>
      <c r="E11" s="12">
        <v>150</v>
      </c>
      <c r="F11" s="12">
        <v>150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47</v>
      </c>
      <c r="E13" s="12">
        <v>210</v>
      </c>
      <c r="F13" s="12">
        <v>420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1820</v>
      </c>
      <c r="G15" s="5">
        <f>SUM(G5:G14)</f>
        <v>1610</v>
      </c>
      <c r="H15" s="5">
        <f>SUM(H5:H14)</f>
        <v>952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37</v>
      </c>
      <c r="E17" s="12">
        <v>150</v>
      </c>
      <c r="F17" s="12">
        <v>0</v>
      </c>
      <c r="G17" s="12">
        <v>0</v>
      </c>
      <c r="H17" s="12">
        <f>E17*6</f>
        <v>900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/>
      <c r="D19" s="4"/>
      <c r="E19" s="5"/>
      <c r="F19" s="5"/>
      <c r="G19" s="5"/>
      <c r="H19" s="5">
        <f>SUM(H15:H18)</f>
        <v>1852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H8" formula="1"/>
    <ignoredError sqref="A5:A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30B3-B403-4EDF-8C51-B9AB35098D5B}">
  <dimension ref="A1:H49"/>
  <sheetViews>
    <sheetView workbookViewId="0">
      <selection activeCell="D9" sqref="D9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15" t="s">
        <v>48</v>
      </c>
      <c r="G2" s="15" t="s">
        <v>49</v>
      </c>
      <c r="H2" s="15" t="s">
        <v>50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44</v>
      </c>
      <c r="E5" s="12">
        <v>210</v>
      </c>
      <c r="F5" s="12">
        <v>210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47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44</v>
      </c>
      <c r="E7" s="19">
        <v>210</v>
      </c>
      <c r="F7" s="19">
        <v>420</v>
      </c>
      <c r="G7" s="12">
        <v>210</v>
      </c>
      <c r="H7" s="14">
        <f>E7*1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51</v>
      </c>
      <c r="E8" s="12">
        <v>210</v>
      </c>
      <c r="F8" s="12">
        <v>420</v>
      </c>
      <c r="G8" s="12">
        <v>210</v>
      </c>
      <c r="H8" s="6">
        <v>0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47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47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52</v>
      </c>
      <c r="E11" s="12">
        <v>150</v>
      </c>
      <c r="F11" s="12">
        <v>150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53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2030</v>
      </c>
      <c r="G15" s="5">
        <f>SUM(G5:G14)</f>
        <v>1610</v>
      </c>
      <c r="H15" s="5">
        <f>SUM(H5:H14)</f>
        <v>700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54</v>
      </c>
      <c r="E17" s="12">
        <v>150</v>
      </c>
      <c r="F17" s="12">
        <v>150</v>
      </c>
      <c r="G17" s="12">
        <v>0</v>
      </c>
      <c r="H17" s="12">
        <f>E17*6-150</f>
        <v>750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2180</v>
      </c>
      <c r="G19" s="5"/>
      <c r="H19" s="5">
        <f>SUM(H15:H18)</f>
        <v>1450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EE0F-407B-4C3F-B107-6022F924575A}">
  <dimension ref="A1:H49"/>
  <sheetViews>
    <sheetView workbookViewId="0">
      <selection activeCell="H17" sqref="H17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15" t="s">
        <v>56</v>
      </c>
      <c r="G2" s="15" t="s">
        <v>57</v>
      </c>
      <c r="H2" s="15" t="s">
        <v>58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53</v>
      </c>
      <c r="E5" s="12">
        <v>210</v>
      </c>
      <c r="F5" s="12">
        <v>420</v>
      </c>
      <c r="G5" s="12">
        <v>210</v>
      </c>
      <c r="H5" s="14">
        <v>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53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47</v>
      </c>
      <c r="E7" s="19">
        <v>210</v>
      </c>
      <c r="F7" s="19">
        <v>210</v>
      </c>
      <c r="G7" s="12">
        <v>210</v>
      </c>
      <c r="H7" s="14">
        <f>E7*1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51</v>
      </c>
      <c r="E8" s="12">
        <v>210</v>
      </c>
      <c r="F8" s="12">
        <v>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53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53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59</v>
      </c>
      <c r="E11" s="12">
        <v>150</v>
      </c>
      <c r="F11" s="12">
        <v>150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60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1610</v>
      </c>
      <c r="G15" s="5">
        <f>SUM(G5:G14)</f>
        <v>1610</v>
      </c>
      <c r="H15" s="5">
        <f>SUM(H5:H14)</f>
        <v>532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61</v>
      </c>
      <c r="E17" s="12">
        <v>150</v>
      </c>
      <c r="F17" s="12">
        <v>150</v>
      </c>
      <c r="G17" s="12">
        <v>0</v>
      </c>
      <c r="H17" s="12">
        <f>E17*6-150-150</f>
        <v>600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1760</v>
      </c>
      <c r="G19" s="5"/>
      <c r="H19" s="5">
        <f>SUM(H15:H18)</f>
        <v>1132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3A7F-7ED9-4D39-A97A-9649B19A73D9}">
  <dimension ref="A1:H49"/>
  <sheetViews>
    <sheetView workbookViewId="0">
      <selection sqref="A1:XFD1048576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5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15" t="s">
        <v>62</v>
      </c>
      <c r="G2" s="15" t="s">
        <v>63</v>
      </c>
      <c r="H2" s="15" t="s">
        <v>64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53</v>
      </c>
      <c r="E5" s="12">
        <v>210</v>
      </c>
      <c r="F5" s="12">
        <v>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60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53</v>
      </c>
      <c r="E7" s="19">
        <v>210</v>
      </c>
      <c r="F7" s="19">
        <v>210</v>
      </c>
      <c r="G7" s="12">
        <v>210</v>
      </c>
      <c r="H7" s="14">
        <f>E7*1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65</v>
      </c>
      <c r="E8" s="12">
        <v>210</v>
      </c>
      <c r="F8" s="12">
        <v>210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60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66</v>
      </c>
      <c r="E10" s="12">
        <v>210</v>
      </c>
      <c r="F10" s="12">
        <v>420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67</v>
      </c>
      <c r="E11" s="12">
        <v>150</v>
      </c>
      <c r="F11" s="12">
        <v>150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66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1610</v>
      </c>
      <c r="G15" s="5">
        <f>SUM(G5:G14)</f>
        <v>1610</v>
      </c>
      <c r="H15" s="5">
        <f>SUM(H5:H14)</f>
        <v>742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68</v>
      </c>
      <c r="E17" s="12">
        <v>150</v>
      </c>
      <c r="F17" s="12">
        <v>150</v>
      </c>
      <c r="G17" s="12">
        <v>0</v>
      </c>
      <c r="H17" s="12">
        <f>E17*6-150-150-150</f>
        <v>450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1760</v>
      </c>
      <c r="G19" s="5"/>
      <c r="H19" s="5">
        <f>SUM(H15:H18)</f>
        <v>1192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8BE7-3893-4D8C-A4D6-FD5D5FB92EA5}">
  <dimension ref="A1:H49"/>
  <sheetViews>
    <sheetView workbookViewId="0">
      <selection sqref="A1:XFD1048576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2" t="s">
        <v>69</v>
      </c>
      <c r="G2" s="2" t="s">
        <v>70</v>
      </c>
      <c r="H2" s="2" t="s">
        <v>71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60</v>
      </c>
      <c r="E5" s="12">
        <v>210</v>
      </c>
      <c r="F5" s="12">
        <v>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66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60</v>
      </c>
      <c r="E7" s="19">
        <v>210</v>
      </c>
      <c r="F7" s="19">
        <v>210</v>
      </c>
      <c r="G7" s="12">
        <v>210</v>
      </c>
      <c r="H7" s="14">
        <f>E7*1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72</v>
      </c>
      <c r="E8" s="12">
        <v>210</v>
      </c>
      <c r="F8" s="12">
        <v>420</v>
      </c>
      <c r="G8" s="12">
        <v>210</v>
      </c>
      <c r="H8" s="6">
        <v>0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66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73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74</v>
      </c>
      <c r="E11" s="12">
        <v>150</v>
      </c>
      <c r="F11" s="12">
        <v>150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66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1610</v>
      </c>
      <c r="G15" s="5">
        <f>SUM(G5:G14)</f>
        <v>1610</v>
      </c>
      <c r="H15" s="5">
        <f>SUM(H5:H14)</f>
        <v>700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68</v>
      </c>
      <c r="E17" s="12">
        <v>150</v>
      </c>
      <c r="F17" s="12">
        <v>0</v>
      </c>
      <c r="G17" s="12">
        <v>0</v>
      </c>
      <c r="H17" s="12">
        <f>E17*6-150-150-150</f>
        <v>450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1610</v>
      </c>
      <c r="G19" s="5"/>
      <c r="H19" s="5">
        <f>SUM(H15:H18)</f>
        <v>1150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rintOptions horizontalCentered="1" gridLines="1"/>
  <pageMargins left="0" right="0" top="0.75" bottom="0.75" header="0.3" footer="0.3"/>
  <pageSetup orientation="landscape" horizontalDpi="0" verticalDpi="0" r:id="rId1"/>
  <ignoredErrors>
    <ignoredError sqref="A5:A1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7239-15D6-443E-BA19-FA5AF7F2EB25}">
  <dimension ref="A1:H49"/>
  <sheetViews>
    <sheetView workbookViewId="0">
      <selection activeCell="A5" sqref="A5:A13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2" t="s">
        <v>75</v>
      </c>
      <c r="G2" s="2" t="s">
        <v>76</v>
      </c>
      <c r="H2" s="2" t="s">
        <v>77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73</v>
      </c>
      <c r="E5" s="12">
        <v>210</v>
      </c>
      <c r="F5" s="12">
        <v>420</v>
      </c>
      <c r="G5" s="12">
        <v>210</v>
      </c>
      <c r="H5" s="14">
        <v>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73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66</v>
      </c>
      <c r="E7" s="19">
        <v>210</v>
      </c>
      <c r="F7" s="19">
        <v>210</v>
      </c>
      <c r="G7" s="12">
        <v>210</v>
      </c>
      <c r="H7" s="14">
        <f>E7*1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72</v>
      </c>
      <c r="E8" s="12">
        <v>210</v>
      </c>
      <c r="F8" s="12">
        <v>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73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73</v>
      </c>
      <c r="E10" s="12">
        <v>210</v>
      </c>
      <c r="F10" s="12">
        <v>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78</v>
      </c>
      <c r="E11" s="12">
        <v>150</v>
      </c>
      <c r="F11" s="12">
        <v>150</v>
      </c>
      <c r="G11" s="12">
        <v>150</v>
      </c>
      <c r="H11" s="6">
        <f>E11/30*26+E11</f>
        <v>280</v>
      </c>
    </row>
    <row r="12" spans="1:8" ht="20.100000000000001" customHeight="1" x14ac:dyDescent="0.2">
      <c r="A12" s="82">
        <v>22</v>
      </c>
      <c r="B12" s="82" t="s">
        <v>29</v>
      </c>
      <c r="C12" s="83" t="s">
        <v>32</v>
      </c>
      <c r="D12" s="18"/>
      <c r="E12" s="12"/>
      <c r="F12" s="12">
        <v>0</v>
      </c>
      <c r="G12" s="12"/>
      <c r="H12" s="12">
        <f>E12*6</f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79</v>
      </c>
      <c r="E13" s="12">
        <v>210</v>
      </c>
      <c r="F13" s="12">
        <v>420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1610</v>
      </c>
      <c r="F15" s="5">
        <f>SUM(F5:F14)</f>
        <v>1610</v>
      </c>
      <c r="G15" s="5">
        <f>SUM(G5:G14)</f>
        <v>1610</v>
      </c>
      <c r="H15" s="5">
        <f>SUM(H5:H14)</f>
        <v>532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80</v>
      </c>
      <c r="E17" s="12">
        <v>150</v>
      </c>
      <c r="F17" s="12">
        <v>150</v>
      </c>
      <c r="G17" s="12">
        <v>0</v>
      </c>
      <c r="H17" s="12">
        <f>E17*6-150-150-150-150</f>
        <v>300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1760</v>
      </c>
      <c r="G19" s="5"/>
      <c r="H19" s="5">
        <f>SUM(H15:H18)</f>
        <v>832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22E6-6C4D-477F-98A2-9A0FAA4FA923}">
  <dimension ref="A1:H49"/>
  <sheetViews>
    <sheetView workbookViewId="0">
      <selection sqref="A1:XFD1048576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2" t="s">
        <v>81</v>
      </c>
      <c r="G2" s="2" t="s">
        <v>82</v>
      </c>
      <c r="H2" s="2" t="s">
        <v>83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73</v>
      </c>
      <c r="E5" s="12">
        <v>210</v>
      </c>
      <c r="F5" s="12">
        <v>0</v>
      </c>
      <c r="G5" s="12">
        <v>210</v>
      </c>
      <c r="H5" s="14">
        <f>E5</f>
        <v>210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79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79</v>
      </c>
      <c r="E7" s="19">
        <v>210</v>
      </c>
      <c r="F7" s="19">
        <v>420</v>
      </c>
      <c r="G7" s="12">
        <v>210</v>
      </c>
      <c r="H7" s="14">
        <v>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84</v>
      </c>
      <c r="E8" s="12">
        <v>210</v>
      </c>
      <c r="F8" s="12">
        <v>210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79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85</v>
      </c>
      <c r="E10" s="12">
        <v>210</v>
      </c>
      <c r="F10" s="12">
        <v>420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86</v>
      </c>
      <c r="E11" s="12">
        <v>150</v>
      </c>
      <c r="F11" s="12">
        <v>300</v>
      </c>
      <c r="G11" s="12">
        <v>150</v>
      </c>
      <c r="H11" s="6">
        <f>E11/30*26</f>
        <v>130</v>
      </c>
    </row>
    <row r="12" spans="1:8" ht="20.100000000000001" customHeight="1" x14ac:dyDescent="0.2">
      <c r="A12" s="82">
        <v>22</v>
      </c>
      <c r="B12" s="82" t="s">
        <v>29</v>
      </c>
      <c r="C12" s="83" t="s">
        <v>87</v>
      </c>
      <c r="D12" s="92" t="s">
        <v>88</v>
      </c>
      <c r="E12" s="93">
        <v>75</v>
      </c>
      <c r="F12" s="93">
        <v>150</v>
      </c>
      <c r="G12" s="93">
        <f>E12</f>
        <v>75</v>
      </c>
      <c r="H12" s="93"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85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1685</v>
      </c>
      <c r="F15" s="5">
        <f>SUM(F5:F14)</f>
        <v>2120</v>
      </c>
      <c r="G15" s="5">
        <f>SUM(G5:G14)</f>
        <v>1685</v>
      </c>
      <c r="H15" s="5">
        <f>SUM(H5:H14)</f>
        <v>382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24</v>
      </c>
      <c r="E17" s="12">
        <v>150</v>
      </c>
      <c r="F17" s="12">
        <v>150</v>
      </c>
      <c r="G17" s="12">
        <v>0</v>
      </c>
      <c r="H17" s="12">
        <f>E17*6-150-150-150-150-150</f>
        <v>150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2270</v>
      </c>
      <c r="G19" s="5"/>
      <c r="H19" s="5">
        <f>SUM(H15:H18)</f>
        <v>532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56C3-F3C1-4B4E-A348-DE04C4AF0D45}">
  <dimension ref="A1:H49"/>
  <sheetViews>
    <sheetView workbookViewId="0">
      <selection sqref="A1:XFD1048576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2" t="s">
        <v>89</v>
      </c>
      <c r="G2" s="2" t="s">
        <v>90</v>
      </c>
      <c r="H2" s="2" t="s">
        <v>91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85</v>
      </c>
      <c r="E5" s="12">
        <v>210</v>
      </c>
      <c r="F5" s="12">
        <v>420</v>
      </c>
      <c r="G5" s="12">
        <v>210</v>
      </c>
      <c r="H5" s="14">
        <v>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79</v>
      </c>
      <c r="E6" s="12">
        <v>200</v>
      </c>
      <c r="F6" s="12">
        <v>0</v>
      </c>
      <c r="G6" s="12">
        <v>200</v>
      </c>
      <c r="H6" s="14">
        <f>E6</f>
        <v>200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79</v>
      </c>
      <c r="E7" s="19">
        <v>210</v>
      </c>
      <c r="F7" s="19">
        <v>0</v>
      </c>
      <c r="G7" s="12">
        <v>210</v>
      </c>
      <c r="H7" s="14">
        <f>E7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92</v>
      </c>
      <c r="E8" s="12">
        <v>210</v>
      </c>
      <c r="F8" s="12">
        <v>210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85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85</v>
      </c>
      <c r="E10" s="12">
        <v>210</v>
      </c>
      <c r="F10" s="12">
        <v>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86</v>
      </c>
      <c r="E11" s="12">
        <v>150</v>
      </c>
      <c r="F11" s="12">
        <v>0</v>
      </c>
      <c r="G11" s="12">
        <v>150</v>
      </c>
      <c r="H11" s="6">
        <f>E11/30*26+E11</f>
        <v>280</v>
      </c>
    </row>
    <row r="12" spans="1:8" ht="20.100000000000001" customHeight="1" x14ac:dyDescent="0.2">
      <c r="A12" s="10">
        <v>22</v>
      </c>
      <c r="B12" s="10" t="s">
        <v>29</v>
      </c>
      <c r="C12" s="11" t="s">
        <v>93</v>
      </c>
      <c r="D12" s="94" t="s">
        <v>94</v>
      </c>
      <c r="E12" s="12">
        <v>150</v>
      </c>
      <c r="F12" s="12">
        <v>150</v>
      </c>
      <c r="G12" s="12">
        <f>E12</f>
        <v>150</v>
      </c>
      <c r="H12" s="93"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95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1760</v>
      </c>
      <c r="F15" s="5">
        <f>SUM(F5:F14)</f>
        <v>1200</v>
      </c>
      <c r="G15" s="5">
        <f>SUM(G5:G14)</f>
        <v>1760</v>
      </c>
      <c r="H15" s="5">
        <f>SUM(H5:H14)</f>
        <v>732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24</v>
      </c>
      <c r="E17" s="12">
        <v>150</v>
      </c>
      <c r="F17" s="12">
        <v>0</v>
      </c>
      <c r="G17" s="12">
        <v>0</v>
      </c>
      <c r="H17" s="12">
        <f>E17*6-150-150-150-150-150</f>
        <v>150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1200</v>
      </c>
      <c r="G19" s="5"/>
      <c r="H19" s="5">
        <f>SUM(H15:H18)</f>
        <v>882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BE54-B095-497F-83E0-64622336C4CB}">
  <dimension ref="A1:H49"/>
  <sheetViews>
    <sheetView workbookViewId="0">
      <selection sqref="A1:XFD1048576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2" t="s">
        <v>96</v>
      </c>
      <c r="G2" s="2" t="s">
        <v>97</v>
      </c>
      <c r="H2" s="2" t="s">
        <v>98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85</v>
      </c>
      <c r="E5" s="12">
        <v>210</v>
      </c>
      <c r="F5" s="12">
        <v>0</v>
      </c>
      <c r="G5" s="12">
        <v>210</v>
      </c>
      <c r="H5" s="14">
        <v>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95</v>
      </c>
      <c r="E6" s="12">
        <v>200</v>
      </c>
      <c r="F6" s="12">
        <v>400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85</v>
      </c>
      <c r="E7" s="19">
        <v>210</v>
      </c>
      <c r="F7" s="19">
        <v>210</v>
      </c>
      <c r="G7" s="12">
        <v>210</v>
      </c>
      <c r="H7" s="14">
        <f>E7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99</v>
      </c>
      <c r="E8" s="12">
        <v>210</v>
      </c>
      <c r="F8" s="12">
        <v>210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95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100</v>
      </c>
      <c r="E10" s="12">
        <v>210</v>
      </c>
      <c r="F10" s="12">
        <v>420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101</v>
      </c>
      <c r="E11" s="12">
        <v>150</v>
      </c>
      <c r="F11" s="12">
        <v>300</v>
      </c>
      <c r="G11" s="12">
        <v>150</v>
      </c>
      <c r="H11" s="6">
        <f>E11/30*26+E11</f>
        <v>280</v>
      </c>
    </row>
    <row r="12" spans="1:8" ht="20.100000000000001" customHeight="1" x14ac:dyDescent="0.2">
      <c r="A12" s="10">
        <v>22</v>
      </c>
      <c r="B12" s="10" t="s">
        <v>29</v>
      </c>
      <c r="C12" s="11" t="s">
        <v>93</v>
      </c>
      <c r="D12" s="94" t="s">
        <v>102</v>
      </c>
      <c r="E12" s="12">
        <v>150</v>
      </c>
      <c r="F12" s="12">
        <v>150</v>
      </c>
      <c r="G12" s="12">
        <f>E12</f>
        <v>150</v>
      </c>
      <c r="H12" s="93"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100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1760</v>
      </c>
      <c r="F15" s="5">
        <f>SUM(F5:F14)</f>
        <v>2110</v>
      </c>
      <c r="G15" s="5">
        <f>SUM(G5:G14)</f>
        <v>1760</v>
      </c>
      <c r="H15" s="5">
        <f>SUM(H5:H14)</f>
        <v>532</v>
      </c>
    </row>
    <row r="16" spans="1:8" ht="18" customHeight="1" x14ac:dyDescent="0.2">
      <c r="A16" s="84" t="s">
        <v>35</v>
      </c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10">
        <v>22</v>
      </c>
      <c r="B17" s="10" t="s">
        <v>29</v>
      </c>
      <c r="C17" s="11" t="s">
        <v>36</v>
      </c>
      <c r="D17" s="18" t="s">
        <v>18</v>
      </c>
      <c r="E17" s="12">
        <v>150</v>
      </c>
      <c r="F17" s="12">
        <v>150</v>
      </c>
      <c r="G17" s="12">
        <v>0</v>
      </c>
      <c r="H17" s="12">
        <f>E17*6-150-150-150-150-150-150</f>
        <v>0</v>
      </c>
    </row>
    <row r="18" spans="1:8" ht="18" customHeight="1" x14ac:dyDescent="0.2">
      <c r="A18" s="4"/>
      <c r="B18" s="4"/>
      <c r="C18" s="8"/>
      <c r="D18" s="4"/>
      <c r="E18" s="5"/>
      <c r="F18" s="5"/>
      <c r="G18" s="5"/>
      <c r="H18" s="5"/>
    </row>
    <row r="19" spans="1:8" ht="18" customHeight="1" x14ac:dyDescent="0.2">
      <c r="A19" s="4"/>
      <c r="B19" s="4"/>
      <c r="C19" s="8" t="s">
        <v>55</v>
      </c>
      <c r="D19" s="4"/>
      <c r="E19" s="5"/>
      <c r="F19" s="5">
        <f>SUM(F15:F18)</f>
        <v>2260</v>
      </c>
      <c r="G19" s="5"/>
      <c r="H19" s="5">
        <f>SUM(H15:H18)</f>
        <v>532</v>
      </c>
    </row>
    <row r="20" spans="1:8" ht="18" customHeight="1" x14ac:dyDescent="0.2">
      <c r="A20" s="4"/>
      <c r="B20" s="4"/>
      <c r="C20" s="8"/>
      <c r="D20" s="4"/>
      <c r="E20" s="5"/>
      <c r="F20" s="5"/>
      <c r="G20" s="5"/>
      <c r="H20" s="5"/>
    </row>
    <row r="21" spans="1:8" ht="18" customHeight="1" x14ac:dyDescent="0.2">
      <c r="A21" s="4"/>
      <c r="B21" s="4"/>
      <c r="C21" s="8"/>
      <c r="D21" s="4"/>
      <c r="E21" s="5"/>
      <c r="F21" s="5"/>
      <c r="G21" s="5"/>
      <c r="H21" s="5"/>
    </row>
    <row r="22" spans="1:8" ht="18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8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8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6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6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6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6" customHeight="1" x14ac:dyDescent="0.2"/>
    <row r="36" spans="1:8" ht="15.6" customHeight="1" x14ac:dyDescent="0.2"/>
    <row r="37" spans="1:8" ht="15.6" customHeight="1" x14ac:dyDescent="0.2"/>
    <row r="38" spans="1:8" ht="15.6" customHeight="1" x14ac:dyDescent="0.2"/>
    <row r="39" spans="1:8" ht="15.6" customHeight="1" x14ac:dyDescent="0.2"/>
    <row r="40" spans="1:8" ht="15.6" customHeight="1" x14ac:dyDescent="0.2"/>
    <row r="41" spans="1:8" ht="15.6" customHeight="1" x14ac:dyDescent="0.2"/>
    <row r="42" spans="1:8" ht="15.6" customHeight="1" x14ac:dyDescent="0.2"/>
    <row r="43" spans="1:8" ht="15.6" customHeight="1" x14ac:dyDescent="0.2"/>
    <row r="44" spans="1:8" ht="15.6" customHeight="1" x14ac:dyDescent="0.2"/>
    <row r="45" spans="1:8" ht="15.6" customHeight="1" x14ac:dyDescent="0.2"/>
    <row r="46" spans="1:8" ht="15.6" customHeight="1" x14ac:dyDescent="0.2"/>
    <row r="47" spans="1:8" ht="15.6" customHeight="1" x14ac:dyDescent="0.2"/>
    <row r="48" spans="1:8" ht="15.6" customHeight="1" x14ac:dyDescent="0.2"/>
    <row r="49" s="1" customFormat="1" ht="15.6" customHeight="1" x14ac:dyDescent="0.2"/>
  </sheetData>
  <pageMargins left="0.7" right="0.7" top="0.75" bottom="0.75" header="0.3" footer="0.3"/>
  <ignoredErrors>
    <ignoredError sqref="A5:A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8608-9338-44FF-B036-FDC34A6CE717}">
  <dimension ref="A1:H45"/>
  <sheetViews>
    <sheetView workbookViewId="0">
      <selection activeCell="F2" sqref="F2:H2"/>
    </sheetView>
  </sheetViews>
  <sheetFormatPr defaultColWidth="9.140625" defaultRowHeight="11.25" x14ac:dyDescent="0.2"/>
  <cols>
    <col min="1" max="2" width="6.85546875" style="1" customWidth="1"/>
    <col min="3" max="3" width="43.28515625" style="1" customWidth="1"/>
    <col min="4" max="4" width="12.28515625" style="1" customWidth="1"/>
    <col min="5" max="7" width="14.28515625" style="1" customWidth="1"/>
    <col min="8" max="8" width="15.7109375" style="1" customWidth="1"/>
    <col min="9" max="16384" width="9.140625" style="1"/>
  </cols>
  <sheetData>
    <row r="1" spans="1:8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">
      <c r="A2" s="3"/>
      <c r="B2" s="3"/>
      <c r="C2" s="3"/>
      <c r="D2" s="2" t="s">
        <v>8</v>
      </c>
      <c r="E2" s="2" t="s">
        <v>9</v>
      </c>
      <c r="F2" s="2" t="s">
        <v>194</v>
      </c>
      <c r="G2" s="2" t="s">
        <v>195</v>
      </c>
      <c r="H2" s="2" t="s">
        <v>196</v>
      </c>
    </row>
    <row r="3" spans="1:8" ht="20.100000000000001" customHeight="1" x14ac:dyDescent="0.2">
      <c r="A3" s="5" t="s">
        <v>13</v>
      </c>
      <c r="B3" s="6"/>
      <c r="C3" s="6"/>
      <c r="D3" s="6"/>
      <c r="E3" s="4"/>
      <c r="F3" s="4"/>
      <c r="G3" s="4"/>
      <c r="H3" s="4"/>
    </row>
    <row r="4" spans="1:8" ht="20.100000000000001" customHeight="1" x14ac:dyDescent="0.2">
      <c r="A4" s="6"/>
      <c r="B4" s="6"/>
      <c r="C4" s="6"/>
      <c r="D4" s="7"/>
      <c r="E4" s="4"/>
      <c r="F4" s="4" t="s">
        <v>14</v>
      </c>
      <c r="G4" s="4"/>
      <c r="H4" s="4"/>
    </row>
    <row r="5" spans="1:8" ht="20.100000000000001" customHeight="1" x14ac:dyDescent="0.2">
      <c r="A5" s="10" t="s">
        <v>15</v>
      </c>
      <c r="B5" s="10" t="s">
        <v>16</v>
      </c>
      <c r="C5" s="11" t="s">
        <v>17</v>
      </c>
      <c r="D5" s="13" t="s">
        <v>100</v>
      </c>
      <c r="E5" s="12">
        <v>210</v>
      </c>
      <c r="F5" s="12">
        <v>420</v>
      </c>
      <c r="G5" s="12">
        <v>210</v>
      </c>
      <c r="H5" s="14">
        <v>0</v>
      </c>
    </row>
    <row r="6" spans="1:8" ht="20.100000000000001" customHeight="1" x14ac:dyDescent="0.2">
      <c r="A6" s="10" t="s">
        <v>19</v>
      </c>
      <c r="B6" s="10" t="s">
        <v>16</v>
      </c>
      <c r="C6" s="11" t="s">
        <v>20</v>
      </c>
      <c r="D6" s="13" t="s">
        <v>100</v>
      </c>
      <c r="E6" s="12">
        <v>200</v>
      </c>
      <c r="F6" s="12">
        <v>200</v>
      </c>
      <c r="G6" s="12">
        <v>200</v>
      </c>
      <c r="H6" s="14">
        <v>0</v>
      </c>
    </row>
    <row r="7" spans="1:8" ht="20.100000000000001" customHeight="1" x14ac:dyDescent="0.2">
      <c r="A7" s="16" t="s">
        <v>22</v>
      </c>
      <c r="B7" s="16" t="s">
        <v>16</v>
      </c>
      <c r="C7" s="17" t="s">
        <v>23</v>
      </c>
      <c r="D7" s="13" t="s">
        <v>95</v>
      </c>
      <c r="E7" s="19">
        <v>210</v>
      </c>
      <c r="F7" s="19">
        <v>210</v>
      </c>
      <c r="G7" s="12">
        <v>210</v>
      </c>
      <c r="H7" s="14">
        <f>E7</f>
        <v>210</v>
      </c>
    </row>
    <row r="8" spans="1:8" ht="20.100000000000001" customHeight="1" x14ac:dyDescent="0.2">
      <c r="A8" s="10">
        <v>11</v>
      </c>
      <c r="B8" s="10" t="s">
        <v>16</v>
      </c>
      <c r="C8" s="11" t="s">
        <v>25</v>
      </c>
      <c r="D8" s="13" t="s">
        <v>197</v>
      </c>
      <c r="E8" s="12">
        <v>210</v>
      </c>
      <c r="F8" s="12">
        <v>210</v>
      </c>
      <c r="G8" s="12">
        <v>210</v>
      </c>
      <c r="H8" s="6">
        <f>E8/30*6</f>
        <v>42</v>
      </c>
    </row>
    <row r="9" spans="1:8" ht="20.100000000000001" customHeight="1" x14ac:dyDescent="0.2">
      <c r="A9" s="10">
        <v>12</v>
      </c>
      <c r="B9" s="10" t="s">
        <v>16</v>
      </c>
      <c r="C9" s="11" t="s">
        <v>27</v>
      </c>
      <c r="D9" s="13" t="s">
        <v>100</v>
      </c>
      <c r="E9" s="12">
        <v>210</v>
      </c>
      <c r="F9" s="12">
        <v>210</v>
      </c>
      <c r="G9" s="12">
        <v>210</v>
      </c>
      <c r="H9" s="14">
        <v>0</v>
      </c>
    </row>
    <row r="10" spans="1:8" ht="20.100000000000001" customHeight="1" x14ac:dyDescent="0.2">
      <c r="A10" s="10">
        <v>13</v>
      </c>
      <c r="B10" s="10" t="s">
        <v>16</v>
      </c>
      <c r="C10" s="11" t="s">
        <v>28</v>
      </c>
      <c r="D10" s="13" t="s">
        <v>198</v>
      </c>
      <c r="E10" s="12">
        <v>210</v>
      </c>
      <c r="F10" s="12">
        <v>210</v>
      </c>
      <c r="G10" s="12">
        <v>210</v>
      </c>
      <c r="H10" s="9">
        <v>0</v>
      </c>
    </row>
    <row r="11" spans="1:8" ht="20.100000000000001" customHeight="1" x14ac:dyDescent="0.2">
      <c r="A11" s="10">
        <v>21</v>
      </c>
      <c r="B11" s="10" t="s">
        <v>29</v>
      </c>
      <c r="C11" s="11" t="s">
        <v>30</v>
      </c>
      <c r="D11" s="13" t="s">
        <v>199</v>
      </c>
      <c r="E11" s="12">
        <v>150</v>
      </c>
      <c r="F11" s="12">
        <v>150</v>
      </c>
      <c r="G11" s="12">
        <v>150</v>
      </c>
      <c r="H11" s="6">
        <f>E11/30*26</f>
        <v>130</v>
      </c>
    </row>
    <row r="12" spans="1:8" ht="20.100000000000001" customHeight="1" x14ac:dyDescent="0.2">
      <c r="A12" s="10">
        <v>22</v>
      </c>
      <c r="B12" s="10" t="s">
        <v>29</v>
      </c>
      <c r="C12" s="11" t="s">
        <v>93</v>
      </c>
      <c r="D12" s="94" t="s">
        <v>200</v>
      </c>
      <c r="E12" s="12">
        <v>150</v>
      </c>
      <c r="F12" s="12">
        <v>150</v>
      </c>
      <c r="G12" s="12">
        <f>E12</f>
        <v>150</v>
      </c>
      <c r="H12" s="93">
        <v>0</v>
      </c>
    </row>
    <row r="13" spans="1:8" ht="20.100000000000001" customHeight="1" x14ac:dyDescent="0.2">
      <c r="A13" s="10">
        <v>23</v>
      </c>
      <c r="B13" s="10" t="s">
        <v>16</v>
      </c>
      <c r="C13" s="11" t="s">
        <v>33</v>
      </c>
      <c r="D13" s="13" t="s">
        <v>198</v>
      </c>
      <c r="E13" s="12">
        <v>210</v>
      </c>
      <c r="F13" s="12">
        <v>210</v>
      </c>
      <c r="G13" s="12">
        <v>210</v>
      </c>
      <c r="H13" s="12">
        <v>0</v>
      </c>
    </row>
    <row r="14" spans="1:8" ht="18" customHeight="1" x14ac:dyDescent="0.2">
      <c r="A14" s="4"/>
      <c r="B14" s="4"/>
      <c r="C14" s="4"/>
      <c r="D14" s="4"/>
      <c r="E14" s="6"/>
      <c r="F14" s="6"/>
      <c r="G14" s="6"/>
      <c r="H14" s="6"/>
    </row>
    <row r="15" spans="1:8" ht="18" customHeight="1" x14ac:dyDescent="0.2">
      <c r="A15" s="4"/>
      <c r="B15" s="4"/>
      <c r="C15" s="8" t="s">
        <v>34</v>
      </c>
      <c r="D15" s="4"/>
      <c r="E15" s="5">
        <f>SUM(E5:E14)</f>
        <v>1760</v>
      </c>
      <c r="F15" s="5">
        <f>SUM(F5:F14)</f>
        <v>1970</v>
      </c>
      <c r="G15" s="5">
        <f>SUM(G5:G14)</f>
        <v>1760</v>
      </c>
      <c r="H15" s="5">
        <f>SUM(H5:H14)</f>
        <v>382</v>
      </c>
    </row>
    <row r="16" spans="1:8" ht="18" customHeight="1" x14ac:dyDescent="0.2">
      <c r="A16" s="4"/>
      <c r="B16" s="4"/>
      <c r="C16" s="8"/>
      <c r="D16" s="4"/>
      <c r="E16" s="5"/>
      <c r="F16" s="5"/>
      <c r="G16" s="5"/>
      <c r="H16" s="5"/>
    </row>
    <row r="17" spans="1:8" ht="18" customHeight="1" x14ac:dyDescent="0.2">
      <c r="A17" s="4"/>
      <c r="B17" s="4"/>
      <c r="C17" s="8"/>
      <c r="D17" s="4"/>
      <c r="E17" s="5"/>
      <c r="F17" s="5"/>
      <c r="G17" s="5"/>
      <c r="H17" s="5"/>
    </row>
    <row r="18" spans="1:8" ht="18" customHeight="1" x14ac:dyDescent="0.2">
      <c r="A18" s="4"/>
      <c r="B18" s="4"/>
      <c r="C18" s="4"/>
      <c r="D18" s="4"/>
      <c r="E18" s="4"/>
      <c r="F18" s="4"/>
      <c r="G18" s="4"/>
      <c r="H18" s="4"/>
    </row>
    <row r="19" spans="1:8" ht="18" customHeight="1" x14ac:dyDescent="0.2">
      <c r="A19" s="4"/>
      <c r="B19" s="4"/>
      <c r="C19" s="4"/>
      <c r="D19" s="4"/>
      <c r="E19" s="4"/>
      <c r="F19" s="4"/>
      <c r="G19" s="4"/>
      <c r="H19" s="4"/>
    </row>
    <row r="20" spans="1:8" ht="18" customHeight="1" x14ac:dyDescent="0.2">
      <c r="A20" s="4"/>
      <c r="B20" s="4"/>
      <c r="C20" s="4"/>
      <c r="D20" s="4"/>
      <c r="E20" s="4"/>
      <c r="F20" s="4"/>
      <c r="G20" s="4"/>
      <c r="H20" s="4"/>
    </row>
    <row r="21" spans="1:8" ht="15.6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6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6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6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6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6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6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6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6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6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6" customHeight="1" x14ac:dyDescent="0.2"/>
    <row r="32" spans="1:8" ht="15.6" customHeight="1" x14ac:dyDescent="0.2"/>
    <row r="33" ht="15.6" customHeight="1" x14ac:dyDescent="0.2"/>
    <row r="34" ht="15.6" customHeight="1" x14ac:dyDescent="0.2"/>
    <row r="35" ht="15.6" customHeight="1" x14ac:dyDescent="0.2"/>
    <row r="36" ht="15.6" customHeight="1" x14ac:dyDescent="0.2"/>
    <row r="37" ht="15.6" customHeight="1" x14ac:dyDescent="0.2"/>
    <row r="38" ht="15.6" customHeight="1" x14ac:dyDescent="0.2"/>
    <row r="39" ht="15.6" customHeight="1" x14ac:dyDescent="0.2"/>
    <row r="40" ht="15.6" customHeight="1" x14ac:dyDescent="0.2"/>
    <row r="41" ht="15.6" customHeight="1" x14ac:dyDescent="0.2"/>
    <row r="42" ht="15.6" customHeight="1" x14ac:dyDescent="0.2"/>
    <row r="43" ht="15.6" customHeight="1" x14ac:dyDescent="0.2"/>
    <row r="44" ht="15.6" customHeight="1" x14ac:dyDescent="0.2"/>
    <row r="45" ht="15.6" customHeight="1" x14ac:dyDescent="0.2"/>
  </sheetData>
  <pageMargins left="0.7" right="0.7" top="0.75" bottom="0.75" header="0.3" footer="0.3"/>
  <ignoredErrors>
    <ignoredError sqref="A5:A1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C4B8-DB92-4E4F-9EB2-285CE06E76F5}">
  <dimension ref="A1:P63"/>
  <sheetViews>
    <sheetView tabSelected="1" topLeftCell="A7" zoomScaleNormal="100" workbookViewId="0">
      <selection activeCell="N20" sqref="N20"/>
    </sheetView>
  </sheetViews>
  <sheetFormatPr defaultColWidth="12.5703125" defaultRowHeight="12.75" x14ac:dyDescent="0.2"/>
  <cols>
    <col min="1" max="1" width="3.42578125" style="24" customWidth="1"/>
    <col min="2" max="2" width="41" style="24" customWidth="1"/>
    <col min="3" max="3" width="10.140625" style="24" customWidth="1"/>
    <col min="4" max="9" width="10.28515625" style="24" customWidth="1"/>
    <col min="10" max="11" width="10.7109375" style="49" customWidth="1"/>
    <col min="12" max="14" width="10.7109375" style="24" customWidth="1"/>
    <col min="15" max="15" width="15.7109375" style="24" customWidth="1"/>
    <col min="16" max="16" width="25.28515625" style="24" customWidth="1"/>
    <col min="17" max="16384" width="12.5703125" style="24"/>
  </cols>
  <sheetData>
    <row r="1" spans="1:16" s="20" customFormat="1" ht="20.100000000000001" customHeight="1" x14ac:dyDescent="0.2">
      <c r="A1" s="20" t="s">
        <v>14</v>
      </c>
      <c r="B1" s="55" t="s">
        <v>103</v>
      </c>
      <c r="C1" s="102" t="s">
        <v>104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</row>
    <row r="2" spans="1:16" s="20" customFormat="1" ht="20.100000000000001" customHeight="1" x14ac:dyDescent="0.2">
      <c r="B2" s="104"/>
      <c r="C2" s="105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56"/>
    </row>
    <row r="3" spans="1:16" s="23" customFormat="1" ht="20.100000000000001" customHeight="1" x14ac:dyDescent="0.2">
      <c r="B3" s="50" t="s">
        <v>105</v>
      </c>
      <c r="C3" s="51" t="s">
        <v>106</v>
      </c>
      <c r="D3" s="51" t="s">
        <v>107</v>
      </c>
      <c r="E3" s="51" t="s">
        <v>108</v>
      </c>
      <c r="F3" s="51" t="s">
        <v>109</v>
      </c>
      <c r="G3" s="51" t="s">
        <v>110</v>
      </c>
      <c r="H3" s="51" t="s">
        <v>111</v>
      </c>
      <c r="I3" s="51" t="s">
        <v>112</v>
      </c>
      <c r="J3" s="51" t="s">
        <v>113</v>
      </c>
      <c r="K3" s="51" t="s">
        <v>114</v>
      </c>
      <c r="L3" s="51" t="s">
        <v>115</v>
      </c>
      <c r="M3" s="51" t="s">
        <v>116</v>
      </c>
      <c r="N3" s="51" t="s">
        <v>117</v>
      </c>
      <c r="O3" s="52" t="s">
        <v>118</v>
      </c>
      <c r="P3" s="57"/>
    </row>
    <row r="4" spans="1:16" ht="20.100000000000001" customHeight="1" x14ac:dyDescent="0.25">
      <c r="B4" s="106" t="s">
        <v>119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8"/>
      <c r="P4" s="58"/>
    </row>
    <row r="5" spans="1:16" ht="20.100000000000001" customHeight="1" x14ac:dyDescent="0.3">
      <c r="B5" s="25" t="s">
        <v>120</v>
      </c>
      <c r="C5" s="61">
        <f>Jan!E15</f>
        <v>1610</v>
      </c>
      <c r="D5" s="61">
        <f>Feb!E15</f>
        <v>1610</v>
      </c>
      <c r="E5" s="61">
        <f>Mar!E15</f>
        <v>1610</v>
      </c>
      <c r="F5" s="61">
        <f>Apr!E15</f>
        <v>1610</v>
      </c>
      <c r="G5" s="61">
        <f>May!E15</f>
        <v>1610</v>
      </c>
      <c r="H5" s="61">
        <f>June!E15</f>
        <v>1610</v>
      </c>
      <c r="I5" s="61">
        <f>July!E15</f>
        <v>1610</v>
      </c>
      <c r="J5" s="61">
        <f>Aug!E15</f>
        <v>1610</v>
      </c>
      <c r="K5" s="61">
        <f>Sep!E15</f>
        <v>1685</v>
      </c>
      <c r="L5" s="61">
        <f>Oct!E15</f>
        <v>1760</v>
      </c>
      <c r="M5" s="61">
        <f>Nov!E15</f>
        <v>1760</v>
      </c>
      <c r="N5" s="61">
        <f>Dec!E15</f>
        <v>1760</v>
      </c>
      <c r="O5" s="76">
        <f>SUM(C5:N5)</f>
        <v>19845</v>
      </c>
      <c r="P5" s="59" t="s">
        <v>121</v>
      </c>
    </row>
    <row r="6" spans="1:16" ht="20.100000000000001" customHeight="1" x14ac:dyDescent="0.25">
      <c r="B6" s="26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76"/>
      <c r="P6" s="58"/>
    </row>
    <row r="7" spans="1:16" ht="20.100000000000001" customHeight="1" x14ac:dyDescent="0.3">
      <c r="B7" s="25" t="s">
        <v>122</v>
      </c>
      <c r="C7" s="61">
        <f>Jan!F15</f>
        <v>1190</v>
      </c>
      <c r="D7" s="61">
        <f>Feb!F15</f>
        <v>1250</v>
      </c>
      <c r="E7" s="61">
        <f>Mar!F15</f>
        <v>1820</v>
      </c>
      <c r="F7" s="61">
        <f>Apr!F19</f>
        <v>2180</v>
      </c>
      <c r="G7" s="61">
        <f>May!F19</f>
        <v>1760</v>
      </c>
      <c r="H7" s="61">
        <f>June!F19</f>
        <v>1760</v>
      </c>
      <c r="I7" s="61">
        <f>July!F15</f>
        <v>1610</v>
      </c>
      <c r="J7" s="61">
        <f>Aug!F19</f>
        <v>1760</v>
      </c>
      <c r="K7" s="63">
        <f>Sep!F19</f>
        <v>2270</v>
      </c>
      <c r="L7" s="61">
        <f>Oct!F19</f>
        <v>1200</v>
      </c>
      <c r="M7" s="61">
        <f>Nov!F19</f>
        <v>2260</v>
      </c>
      <c r="N7" s="61">
        <f>Dec!F15</f>
        <v>1970</v>
      </c>
      <c r="O7" s="76">
        <f>SUM(C7:N7)</f>
        <v>21030</v>
      </c>
      <c r="P7" s="59" t="s">
        <v>123</v>
      </c>
    </row>
    <row r="8" spans="1:16" ht="20.100000000000001" customHeight="1" x14ac:dyDescent="0.25">
      <c r="B8" s="106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8"/>
      <c r="P8" s="58"/>
    </row>
    <row r="9" spans="1:16" s="23" customFormat="1" ht="20.100000000000001" customHeight="1" x14ac:dyDescent="0.2">
      <c r="B9" s="80" t="s">
        <v>124</v>
      </c>
      <c r="C9" s="27"/>
      <c r="D9" s="27"/>
      <c r="E9" s="27"/>
      <c r="F9" s="27"/>
      <c r="G9" s="27"/>
      <c r="H9" s="27"/>
      <c r="I9" s="27"/>
      <c r="J9" s="28"/>
      <c r="K9" s="28"/>
      <c r="L9" s="27"/>
      <c r="M9" s="27"/>
      <c r="N9" s="27"/>
      <c r="O9" s="52" t="s">
        <v>118</v>
      </c>
      <c r="P9" s="60"/>
    </row>
    <row r="10" spans="1:16" ht="20.100000000000001" customHeight="1" x14ac:dyDescent="0.25">
      <c r="B10" s="109" t="s">
        <v>125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1"/>
      <c r="P10" s="58"/>
    </row>
    <row r="11" spans="1:16" ht="20.100000000000001" customHeight="1" x14ac:dyDescent="0.25">
      <c r="B11" s="88" t="s">
        <v>126</v>
      </c>
      <c r="C11" s="64">
        <v>0</v>
      </c>
      <c r="D11" s="64">
        <v>76.599999999999994</v>
      </c>
      <c r="E11" s="64">
        <v>0</v>
      </c>
      <c r="F11" s="48">
        <v>76.599999999999994</v>
      </c>
      <c r="G11" s="48"/>
      <c r="H11" s="48"/>
      <c r="I11" s="65">
        <v>76.599999999999994</v>
      </c>
      <c r="J11" s="48">
        <v>192</v>
      </c>
      <c r="K11" s="48">
        <v>55</v>
      </c>
      <c r="L11" s="65">
        <v>73</v>
      </c>
      <c r="M11" s="65">
        <v>82.52</v>
      </c>
      <c r="N11" s="65"/>
      <c r="O11" s="77">
        <f t="shared" ref="O11:O22" si="0">SUM(C11:N11)</f>
        <v>632.31999999999994</v>
      </c>
      <c r="P11" s="58" t="s">
        <v>127</v>
      </c>
    </row>
    <row r="12" spans="1:16" ht="20.100000000000001" customHeight="1" x14ac:dyDescent="0.25">
      <c r="B12" s="88" t="s">
        <v>128</v>
      </c>
      <c r="C12" s="64">
        <v>47.6</v>
      </c>
      <c r="D12" s="64">
        <f>50+10</f>
        <v>60</v>
      </c>
      <c r="E12" s="64">
        <v>72.8</v>
      </c>
      <c r="F12" s="48">
        <f>87.2+10</f>
        <v>97.2</v>
      </c>
      <c r="G12" s="48">
        <v>70.400000000000006</v>
      </c>
      <c r="H12" s="48">
        <v>70.400000000000006</v>
      </c>
      <c r="I12" s="65">
        <f>64.4+10</f>
        <v>74.400000000000006</v>
      </c>
      <c r="J12" s="48">
        <f>70.4+30</f>
        <v>100.4</v>
      </c>
      <c r="K12" s="48">
        <f>90.8+10</f>
        <v>100.8</v>
      </c>
      <c r="L12" s="65">
        <f>48+10</f>
        <v>58</v>
      </c>
      <c r="M12" s="65">
        <f>90.4+72</f>
        <v>162.4</v>
      </c>
      <c r="N12" s="65">
        <v>78.8</v>
      </c>
      <c r="O12" s="77">
        <f t="shared" si="0"/>
        <v>993.19999999999982</v>
      </c>
      <c r="P12" s="58" t="s">
        <v>129</v>
      </c>
    </row>
    <row r="13" spans="1:16" ht="20.100000000000001" customHeight="1" x14ac:dyDescent="0.25">
      <c r="B13" s="88" t="s">
        <v>130</v>
      </c>
      <c r="C13" s="64">
        <v>4.13</v>
      </c>
      <c r="D13" s="64">
        <v>5.71</v>
      </c>
      <c r="E13" s="64">
        <v>14.14</v>
      </c>
      <c r="F13" s="48">
        <v>7.11</v>
      </c>
      <c r="G13" s="48">
        <v>5.43</v>
      </c>
      <c r="H13" s="48">
        <v>4.7699999999999996</v>
      </c>
      <c r="I13" s="65">
        <v>5.86</v>
      </c>
      <c r="J13" s="48">
        <v>9.73</v>
      </c>
      <c r="K13" s="48">
        <v>11.925000000000001</v>
      </c>
      <c r="L13" s="65">
        <v>6.22</v>
      </c>
      <c r="M13" s="65">
        <v>15.095000000000001</v>
      </c>
      <c r="N13" s="65">
        <v>10.215</v>
      </c>
      <c r="O13" s="77">
        <f t="shared" si="0"/>
        <v>100.33499999999999</v>
      </c>
      <c r="P13" s="58" t="s">
        <v>131</v>
      </c>
    </row>
    <row r="14" spans="1:16" ht="27.75" customHeight="1" x14ac:dyDescent="0.25">
      <c r="B14" s="88" t="s">
        <v>132</v>
      </c>
      <c r="C14" s="64"/>
      <c r="D14" s="64">
        <v>249.375</v>
      </c>
      <c r="E14" s="64"/>
      <c r="F14" s="48"/>
      <c r="G14" s="48"/>
      <c r="H14" s="48"/>
      <c r="I14" s="65"/>
      <c r="J14" s="48">
        <v>249.375</v>
      </c>
      <c r="K14" s="48"/>
      <c r="L14" s="65"/>
      <c r="M14" s="65"/>
      <c r="N14" s="65"/>
      <c r="O14" s="77">
        <f t="shared" si="0"/>
        <v>498.75</v>
      </c>
      <c r="P14" s="58" t="s">
        <v>133</v>
      </c>
    </row>
    <row r="15" spans="1:16" ht="20.100000000000001" customHeight="1" x14ac:dyDescent="0.25">
      <c r="B15" s="88" t="s">
        <v>134</v>
      </c>
      <c r="C15" s="64"/>
      <c r="D15" s="64"/>
      <c r="E15" s="64"/>
      <c r="F15" s="48"/>
      <c r="G15" s="48"/>
      <c r="H15" s="48"/>
      <c r="I15" s="65"/>
      <c r="J15" s="48"/>
      <c r="K15" s="48"/>
      <c r="L15" s="65"/>
      <c r="M15" s="65"/>
      <c r="N15" s="65"/>
      <c r="O15" s="77">
        <f t="shared" si="0"/>
        <v>0</v>
      </c>
      <c r="P15" s="58" t="s">
        <v>135</v>
      </c>
    </row>
    <row r="16" spans="1:16" ht="20.100000000000001" customHeight="1" x14ac:dyDescent="0.25">
      <c r="B16" s="88" t="s">
        <v>136</v>
      </c>
      <c r="C16" s="64">
        <v>5.41</v>
      </c>
      <c r="D16" s="64">
        <v>5.34</v>
      </c>
      <c r="E16" s="64">
        <v>4.62</v>
      </c>
      <c r="F16" s="48">
        <v>4.78</v>
      </c>
      <c r="G16" s="48">
        <v>4.18</v>
      </c>
      <c r="H16" s="48">
        <v>4.29</v>
      </c>
      <c r="I16" s="65">
        <v>4.04</v>
      </c>
      <c r="J16" s="48">
        <v>28.33</v>
      </c>
      <c r="K16" s="48">
        <v>4.53</v>
      </c>
      <c r="L16" s="65">
        <v>4.38</v>
      </c>
      <c r="M16" s="65">
        <v>4.5999999999999996</v>
      </c>
      <c r="N16" s="65">
        <v>4.41</v>
      </c>
      <c r="O16" s="77">
        <f t="shared" si="0"/>
        <v>78.909999999999982</v>
      </c>
      <c r="P16" s="58" t="s">
        <v>137</v>
      </c>
    </row>
    <row r="17" spans="2:16" ht="20.100000000000001" customHeight="1" x14ac:dyDescent="0.25">
      <c r="B17" s="88" t="s">
        <v>138</v>
      </c>
      <c r="C17" s="64"/>
      <c r="D17" s="64"/>
      <c r="E17" s="64"/>
      <c r="F17" s="48"/>
      <c r="G17" s="48"/>
      <c r="H17" s="48"/>
      <c r="I17" s="65"/>
      <c r="J17" s="48"/>
      <c r="K17" s="48"/>
      <c r="L17" s="65"/>
      <c r="M17" s="65"/>
      <c r="N17" s="65"/>
      <c r="O17" s="77">
        <f t="shared" si="0"/>
        <v>0</v>
      </c>
      <c r="P17" s="58" t="s">
        <v>139</v>
      </c>
    </row>
    <row r="18" spans="2:16" ht="20.100000000000001" customHeight="1" x14ac:dyDescent="0.25">
      <c r="B18" s="88" t="s">
        <v>140</v>
      </c>
      <c r="C18" s="64">
        <v>126</v>
      </c>
      <c r="D18" s="64"/>
      <c r="E18" s="64">
        <v>42</v>
      </c>
      <c r="F18" s="48">
        <v>170.1</v>
      </c>
      <c r="G18" s="48">
        <v>12.6</v>
      </c>
      <c r="H18" s="48">
        <v>8.4</v>
      </c>
      <c r="I18" s="65"/>
      <c r="J18" s="48">
        <v>33.6</v>
      </c>
      <c r="K18" s="48"/>
      <c r="L18" s="65">
        <v>22.05</v>
      </c>
      <c r="M18" s="65"/>
      <c r="N18" s="65"/>
      <c r="O18" s="77">
        <f t="shared" si="0"/>
        <v>414.75000000000006</v>
      </c>
      <c r="P18" s="58" t="s">
        <v>141</v>
      </c>
    </row>
    <row r="19" spans="2:16" ht="20.100000000000001" customHeight="1" thickBot="1" x14ac:dyDescent="0.3">
      <c r="B19" s="89" t="s">
        <v>142</v>
      </c>
      <c r="C19" s="64">
        <f>25+10</f>
        <v>35</v>
      </c>
      <c r="D19" s="64">
        <f>25+29.2</f>
        <v>54.2</v>
      </c>
      <c r="E19" s="64">
        <f>25+185</f>
        <v>210</v>
      </c>
      <c r="F19" s="48">
        <f>25+20</f>
        <v>45</v>
      </c>
      <c r="G19" s="48">
        <f>25+13.2</f>
        <v>38.200000000000003</v>
      </c>
      <c r="H19" s="48">
        <v>25</v>
      </c>
      <c r="I19" s="65">
        <f>25+17.8</f>
        <v>42.8</v>
      </c>
      <c r="J19" s="48">
        <f>25+69.2</f>
        <v>94.2</v>
      </c>
      <c r="K19" s="48">
        <f>25+112.7</f>
        <v>137.69999999999999</v>
      </c>
      <c r="L19" s="65">
        <f>25+41.4</f>
        <v>66.400000000000006</v>
      </c>
      <c r="M19" s="65">
        <f>25+114.5</f>
        <v>139.5</v>
      </c>
      <c r="N19" s="65">
        <f>25+100.5+70</f>
        <v>195.5</v>
      </c>
      <c r="O19" s="78">
        <f t="shared" si="0"/>
        <v>1083.5</v>
      </c>
      <c r="P19" s="58" t="s">
        <v>143</v>
      </c>
    </row>
    <row r="20" spans="2:16" ht="20.100000000000001" customHeight="1" thickBot="1" x14ac:dyDescent="0.3">
      <c r="B20" s="54" t="s">
        <v>144</v>
      </c>
      <c r="C20" s="66">
        <f t="shared" ref="C20:N20" si="1">SUM(C11:C19)</f>
        <v>218.14</v>
      </c>
      <c r="D20" s="66">
        <f t="shared" si="1"/>
        <v>451.22499999999997</v>
      </c>
      <c r="E20" s="67">
        <f t="shared" si="1"/>
        <v>343.56</v>
      </c>
      <c r="F20" s="67">
        <f t="shared" si="1"/>
        <v>400.79</v>
      </c>
      <c r="G20" s="67">
        <f t="shared" si="1"/>
        <v>130.81</v>
      </c>
      <c r="H20" s="67">
        <f t="shared" si="1"/>
        <v>112.86000000000001</v>
      </c>
      <c r="I20" s="67">
        <f t="shared" si="1"/>
        <v>203.7</v>
      </c>
      <c r="J20" s="66">
        <f t="shared" si="1"/>
        <v>707.6350000000001</v>
      </c>
      <c r="K20" s="66">
        <f t="shared" si="1"/>
        <v>309.95500000000004</v>
      </c>
      <c r="L20" s="67">
        <f t="shared" si="1"/>
        <v>230.05</v>
      </c>
      <c r="M20" s="67">
        <f t="shared" si="1"/>
        <v>404.11500000000007</v>
      </c>
      <c r="N20" s="67">
        <f t="shared" si="1"/>
        <v>288.92500000000001</v>
      </c>
      <c r="O20" s="86">
        <f t="shared" si="0"/>
        <v>3801.7650000000003</v>
      </c>
      <c r="P20" s="59" t="s">
        <v>145</v>
      </c>
    </row>
    <row r="21" spans="2:16" ht="20.100000000000001" customHeight="1" x14ac:dyDescent="0.25">
      <c r="B21" s="53"/>
      <c r="C21" s="68"/>
      <c r="D21" s="69"/>
      <c r="E21" s="69"/>
      <c r="F21" s="69"/>
      <c r="G21" s="69"/>
      <c r="H21" s="69"/>
      <c r="I21" s="69"/>
      <c r="J21" s="68"/>
      <c r="K21" s="68"/>
      <c r="L21" s="69"/>
      <c r="M21" s="69"/>
      <c r="N21" s="69"/>
      <c r="O21" s="79"/>
      <c r="P21" s="58"/>
    </row>
    <row r="22" spans="2:16" ht="20.100000000000001" customHeight="1" thickBot="1" x14ac:dyDescent="0.3">
      <c r="B22" s="75" t="s">
        <v>146</v>
      </c>
      <c r="C22" s="70">
        <f>C7-C20</f>
        <v>971.86</v>
      </c>
      <c r="D22" s="70">
        <f>D7-D20</f>
        <v>798.77500000000009</v>
      </c>
      <c r="E22" s="71">
        <f t="shared" ref="E22:N22" si="2">E7-E20</f>
        <v>1476.44</v>
      </c>
      <c r="F22" s="71">
        <f t="shared" si="2"/>
        <v>1779.21</v>
      </c>
      <c r="G22" s="71">
        <f t="shared" si="2"/>
        <v>1629.19</v>
      </c>
      <c r="H22" s="71">
        <f t="shared" si="2"/>
        <v>1647.1399999999999</v>
      </c>
      <c r="I22" s="71">
        <f t="shared" si="2"/>
        <v>1406.3</v>
      </c>
      <c r="J22" s="70">
        <f t="shared" si="2"/>
        <v>1052.3649999999998</v>
      </c>
      <c r="K22" s="70">
        <f t="shared" si="2"/>
        <v>1960.0450000000001</v>
      </c>
      <c r="L22" s="71">
        <f t="shared" si="2"/>
        <v>969.95</v>
      </c>
      <c r="M22" s="71">
        <f t="shared" si="2"/>
        <v>1855.885</v>
      </c>
      <c r="N22" s="71">
        <f t="shared" si="2"/>
        <v>1681.075</v>
      </c>
      <c r="O22" s="87">
        <f t="shared" si="0"/>
        <v>17228.235000000001</v>
      </c>
      <c r="P22" s="59" t="s">
        <v>147</v>
      </c>
    </row>
    <row r="23" spans="2:16" ht="20.100000000000001" customHeight="1" thickTop="1" x14ac:dyDescent="0.25">
      <c r="B23" s="53"/>
      <c r="C23" s="69"/>
      <c r="D23" s="69"/>
      <c r="E23" s="69"/>
      <c r="F23" s="69"/>
      <c r="G23" s="69"/>
      <c r="H23" s="69"/>
      <c r="I23" s="69"/>
      <c r="J23" s="68"/>
      <c r="K23" s="68"/>
      <c r="L23" s="69"/>
      <c r="M23" s="69"/>
      <c r="N23" s="69"/>
      <c r="O23" s="38"/>
      <c r="P23" s="58"/>
    </row>
    <row r="24" spans="2:16" ht="20.100000000000001" customHeight="1" thickBot="1" x14ac:dyDescent="0.3">
      <c r="B24" s="33" t="s">
        <v>148</v>
      </c>
      <c r="C24" s="72">
        <f>Jan!H19</f>
        <v>1660</v>
      </c>
      <c r="D24" s="73">
        <f>Feb!H19</f>
        <v>1852</v>
      </c>
      <c r="E24" s="73">
        <f>Mar!H19</f>
        <v>1852</v>
      </c>
      <c r="F24" s="73">
        <f>Apr!H19</f>
        <v>1450</v>
      </c>
      <c r="G24" s="73">
        <f>May!H19</f>
        <v>1132</v>
      </c>
      <c r="H24" s="73">
        <f>June!H19</f>
        <v>1192</v>
      </c>
      <c r="I24" s="73">
        <f>July!H19</f>
        <v>1150</v>
      </c>
      <c r="J24" s="74">
        <f>Aug!H19</f>
        <v>832</v>
      </c>
      <c r="K24" s="74">
        <f>Sep!H19</f>
        <v>532</v>
      </c>
      <c r="L24" s="73">
        <f>Oct!H19</f>
        <v>882</v>
      </c>
      <c r="M24" s="73">
        <f>Nov!H19</f>
        <v>532</v>
      </c>
      <c r="N24" s="73">
        <f>Dec!H15</f>
        <v>382</v>
      </c>
      <c r="O24" s="34" t="s">
        <v>149</v>
      </c>
      <c r="P24" s="59" t="s">
        <v>150</v>
      </c>
    </row>
    <row r="25" spans="2:16" ht="20.100000000000001" customHeight="1" x14ac:dyDescent="0.25">
      <c r="B25" s="35"/>
      <c r="C25" s="36"/>
      <c r="D25" s="36"/>
      <c r="E25" s="36"/>
      <c r="F25" s="36"/>
      <c r="G25" s="36"/>
      <c r="H25" s="36"/>
      <c r="I25" s="36"/>
      <c r="J25" s="37"/>
      <c r="K25" s="37"/>
      <c r="L25" s="36"/>
      <c r="M25" s="36"/>
      <c r="N25" s="36"/>
      <c r="O25" s="38"/>
      <c r="P25" s="58"/>
    </row>
    <row r="26" spans="2:16" ht="20.100000000000001" customHeight="1" x14ac:dyDescent="0.25">
      <c r="B26" s="112" t="s">
        <v>151</v>
      </c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4"/>
      <c r="P26" s="58"/>
    </row>
    <row r="27" spans="2:16" ht="20.100000000000001" customHeight="1" x14ac:dyDescent="0.25">
      <c r="B27" s="39"/>
      <c r="C27" s="31"/>
      <c r="D27" s="31"/>
      <c r="E27" s="31"/>
      <c r="F27" s="31"/>
      <c r="G27" s="31"/>
      <c r="H27" s="31"/>
      <c r="I27" s="31"/>
      <c r="J27" s="30"/>
      <c r="K27" s="30"/>
      <c r="L27" s="31"/>
      <c r="M27" s="31"/>
      <c r="N27" s="31"/>
      <c r="O27" s="32"/>
      <c r="P27" s="58"/>
    </row>
    <row r="28" spans="2:16" ht="20.100000000000001" customHeight="1" x14ac:dyDescent="0.25">
      <c r="B28" s="40" t="s">
        <v>152</v>
      </c>
      <c r="C28" s="28" t="s">
        <v>106</v>
      </c>
      <c r="D28" s="28" t="s">
        <v>107</v>
      </c>
      <c r="E28" s="28" t="s">
        <v>108</v>
      </c>
      <c r="F28" s="28" t="s">
        <v>109</v>
      </c>
      <c r="G28" s="28" t="s">
        <v>110</v>
      </c>
      <c r="H28" s="28" t="s">
        <v>111</v>
      </c>
      <c r="I28" s="28" t="s">
        <v>112</v>
      </c>
      <c r="J28" s="28" t="s">
        <v>113</v>
      </c>
      <c r="K28" s="28" t="s">
        <v>114</v>
      </c>
      <c r="L28" s="28" t="s">
        <v>115</v>
      </c>
      <c r="M28" s="28" t="s">
        <v>116</v>
      </c>
      <c r="N28" s="28" t="s">
        <v>117</v>
      </c>
      <c r="O28" s="29" t="s">
        <v>153</v>
      </c>
      <c r="P28" s="58"/>
    </row>
    <row r="29" spans="2:16" ht="20.100000000000001" customHeight="1" x14ac:dyDescent="0.25">
      <c r="B29" s="115" t="s">
        <v>154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7"/>
      <c r="P29" s="58"/>
    </row>
    <row r="30" spans="2:16" ht="20.100000000000001" customHeight="1" x14ac:dyDescent="0.25">
      <c r="B30" s="41" t="s">
        <v>155</v>
      </c>
      <c r="C30" s="118">
        <v>9</v>
      </c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42"/>
      <c r="P30" s="58" t="s">
        <v>156</v>
      </c>
    </row>
    <row r="31" spans="2:16" ht="20.100000000000001" customHeight="1" x14ac:dyDescent="0.25">
      <c r="B31" s="88" t="s">
        <v>157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4">
        <v>1</v>
      </c>
      <c r="K31" s="43"/>
      <c r="L31" s="44"/>
      <c r="M31" s="43"/>
      <c r="N31" s="43"/>
      <c r="O31" s="45" t="s">
        <v>149</v>
      </c>
      <c r="P31" s="58" t="s">
        <v>158</v>
      </c>
    </row>
    <row r="32" spans="2:16" ht="20.100000000000001" customHeight="1" x14ac:dyDescent="0.25">
      <c r="B32" s="88" t="s">
        <v>159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/>
      <c r="K32" s="44"/>
      <c r="L32" s="43"/>
      <c r="M32" s="43"/>
      <c r="N32" s="43"/>
      <c r="O32" s="45" t="s">
        <v>149</v>
      </c>
      <c r="P32" s="58" t="s">
        <v>160</v>
      </c>
    </row>
    <row r="33" spans="2:16" ht="20.100000000000001" customHeight="1" x14ac:dyDescent="0.25">
      <c r="B33" s="88"/>
      <c r="C33" s="43"/>
      <c r="D33" s="43"/>
      <c r="E33" s="43"/>
      <c r="F33" s="43"/>
      <c r="G33" s="43"/>
      <c r="H33" s="43"/>
      <c r="I33" s="43"/>
      <c r="J33" s="43"/>
      <c r="K33" s="44"/>
      <c r="L33" s="43"/>
      <c r="M33" s="43"/>
      <c r="N33" s="43"/>
      <c r="O33" s="45"/>
      <c r="P33" s="58"/>
    </row>
    <row r="34" spans="2:16" ht="20.100000000000001" customHeight="1" x14ac:dyDescent="0.25">
      <c r="B34" s="88" t="s">
        <v>161</v>
      </c>
      <c r="C34" s="65">
        <v>8</v>
      </c>
      <c r="D34" s="65">
        <v>8</v>
      </c>
      <c r="E34" s="65">
        <v>8</v>
      </c>
      <c r="F34" s="65">
        <v>8</v>
      </c>
      <c r="G34" s="65">
        <v>8</v>
      </c>
      <c r="H34" s="65">
        <v>8</v>
      </c>
      <c r="I34" s="65">
        <v>8</v>
      </c>
      <c r="J34" s="65">
        <v>8</v>
      </c>
      <c r="K34" s="65">
        <v>9</v>
      </c>
      <c r="L34" s="65">
        <v>9</v>
      </c>
      <c r="M34" s="65">
        <v>9</v>
      </c>
      <c r="N34" s="65">
        <v>9</v>
      </c>
      <c r="O34" s="45" t="s">
        <v>149</v>
      </c>
      <c r="P34" s="58" t="s">
        <v>162</v>
      </c>
    </row>
    <row r="35" spans="2:16" ht="20.100000000000001" customHeight="1" x14ac:dyDescent="0.25">
      <c r="B35" s="88" t="s">
        <v>163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5" t="s">
        <v>149</v>
      </c>
      <c r="P35" s="58" t="s">
        <v>164</v>
      </c>
    </row>
    <row r="36" spans="2:16" ht="20.100000000000001" customHeight="1" x14ac:dyDescent="0.25">
      <c r="B36" s="90" t="s">
        <v>165</v>
      </c>
      <c r="C36" s="85">
        <f t="shared" ref="C36:H36" si="3">SUM(C31:C35)</f>
        <v>8</v>
      </c>
      <c r="D36" s="85">
        <f t="shared" si="3"/>
        <v>8</v>
      </c>
      <c r="E36" s="85">
        <f t="shared" si="3"/>
        <v>8</v>
      </c>
      <c r="F36" s="85">
        <f t="shared" si="3"/>
        <v>8</v>
      </c>
      <c r="G36" s="85">
        <f t="shared" si="3"/>
        <v>8</v>
      </c>
      <c r="H36" s="85">
        <f t="shared" si="3"/>
        <v>8</v>
      </c>
      <c r="I36" s="85">
        <f t="shared" ref="I36:J36" si="4">SUM(I31:I35)</f>
        <v>8</v>
      </c>
      <c r="J36" s="85">
        <f t="shared" si="4"/>
        <v>9</v>
      </c>
      <c r="K36" s="85">
        <f t="shared" ref="K36:L36" si="5">SUM(K31:K35)</f>
        <v>9</v>
      </c>
      <c r="L36" s="85">
        <f t="shared" si="5"/>
        <v>9</v>
      </c>
      <c r="M36" s="85">
        <f t="shared" ref="M36:N36" si="6">SUM(M31:M35)</f>
        <v>9</v>
      </c>
      <c r="N36" s="85">
        <f t="shared" si="6"/>
        <v>9</v>
      </c>
      <c r="O36" s="45"/>
      <c r="P36" s="59" t="s">
        <v>166</v>
      </c>
    </row>
    <row r="37" spans="2:16" ht="20.100000000000001" customHeight="1" x14ac:dyDescent="0.25">
      <c r="B37" s="88" t="s">
        <v>167</v>
      </c>
      <c r="C37" s="44">
        <v>1</v>
      </c>
      <c r="D37" s="44">
        <v>1</v>
      </c>
      <c r="E37" s="44">
        <v>1</v>
      </c>
      <c r="F37" s="44">
        <v>1</v>
      </c>
      <c r="G37" s="44">
        <v>1</v>
      </c>
      <c r="H37" s="44">
        <v>1</v>
      </c>
      <c r="I37" s="44">
        <v>1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5" t="s">
        <v>149</v>
      </c>
      <c r="P37" s="58" t="s">
        <v>168</v>
      </c>
    </row>
    <row r="38" spans="2:16" ht="20.100000000000001" customHeight="1" x14ac:dyDescent="0.25">
      <c r="B38" s="88" t="s">
        <v>169</v>
      </c>
      <c r="C38" s="44"/>
      <c r="D38" s="44"/>
      <c r="E38" s="44"/>
      <c r="F38" s="44"/>
      <c r="G38" s="44"/>
      <c r="H38" s="44"/>
      <c r="I38" s="44"/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5" t="s">
        <v>149</v>
      </c>
      <c r="P38" s="58" t="s">
        <v>170</v>
      </c>
    </row>
    <row r="39" spans="2:16" ht="20.100000000000001" customHeight="1" x14ac:dyDescent="0.25">
      <c r="B39" s="88"/>
      <c r="C39" s="44"/>
      <c r="D39" s="44"/>
      <c r="E39" s="44"/>
      <c r="F39" s="44"/>
      <c r="G39" s="44"/>
      <c r="H39" s="44"/>
      <c r="I39" s="44"/>
      <c r="J39" s="43"/>
      <c r="K39" s="43"/>
      <c r="L39" s="43"/>
      <c r="M39" s="43"/>
      <c r="N39" s="43"/>
      <c r="O39" s="45"/>
      <c r="P39" s="58"/>
    </row>
    <row r="40" spans="2:16" ht="20.100000000000001" customHeight="1" x14ac:dyDescent="0.25">
      <c r="B40" s="88" t="s">
        <v>171</v>
      </c>
      <c r="C40" s="44"/>
      <c r="D40" s="44"/>
      <c r="E40" s="44"/>
      <c r="F40" s="44"/>
      <c r="G40" s="44"/>
      <c r="H40" s="44"/>
      <c r="I40" s="44"/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5" t="s">
        <v>149</v>
      </c>
      <c r="P40" s="58" t="s">
        <v>172</v>
      </c>
    </row>
    <row r="41" spans="2:16" ht="20.100000000000001" customHeight="1" x14ac:dyDescent="0.25">
      <c r="B41" s="88" t="s">
        <v>173</v>
      </c>
      <c r="C41" s="44"/>
      <c r="D41" s="44"/>
      <c r="E41" s="44"/>
      <c r="F41" s="44"/>
      <c r="G41" s="44"/>
      <c r="H41" s="44"/>
      <c r="I41" s="44"/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5" t="s">
        <v>149</v>
      </c>
      <c r="P41" s="58" t="s">
        <v>174</v>
      </c>
    </row>
    <row r="42" spans="2:16" ht="20.100000000000001" customHeight="1" x14ac:dyDescent="0.25">
      <c r="B42" s="90" t="s">
        <v>175</v>
      </c>
      <c r="C42" s="46">
        <f>(C36/C30)</f>
        <v>0.88888888888888884</v>
      </c>
      <c r="D42" s="47">
        <f>(D36/C30)</f>
        <v>0.88888888888888884</v>
      </c>
      <c r="E42" s="47">
        <f>(E36/C30)</f>
        <v>0.88888888888888884</v>
      </c>
      <c r="F42" s="47">
        <f>(F36/C30)</f>
        <v>0.88888888888888884</v>
      </c>
      <c r="G42" s="47">
        <f>(G36/C30)</f>
        <v>0.88888888888888884</v>
      </c>
      <c r="H42" s="47">
        <f>(H36/C30)</f>
        <v>0.88888888888888884</v>
      </c>
      <c r="I42" s="47">
        <f>(I36/C30)</f>
        <v>0.88888888888888884</v>
      </c>
      <c r="J42" s="47">
        <f>(J36/C30)</f>
        <v>1</v>
      </c>
      <c r="K42" s="47">
        <f>(K36/C30)</f>
        <v>1</v>
      </c>
      <c r="L42" s="47">
        <f>(L36/C30)</f>
        <v>1</v>
      </c>
      <c r="M42" s="47">
        <f>(M36/C30)</f>
        <v>1</v>
      </c>
      <c r="N42" s="47">
        <f>(N36/C30)</f>
        <v>1</v>
      </c>
      <c r="O42" s="45" t="s">
        <v>149</v>
      </c>
      <c r="P42" s="59" t="s">
        <v>176</v>
      </c>
    </row>
    <row r="43" spans="2:16" ht="20.100000000000001" customHeight="1" x14ac:dyDescent="0.25">
      <c r="B43" s="119" t="s">
        <v>177</v>
      </c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1"/>
      <c r="P43" s="58"/>
    </row>
    <row r="44" spans="2:16" ht="20.100000000000001" customHeight="1" x14ac:dyDescent="0.25">
      <c r="B44" s="124" t="s">
        <v>178</v>
      </c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6"/>
      <c r="P44" s="58"/>
    </row>
    <row r="45" spans="2:16" ht="20.100000000000001" customHeight="1" x14ac:dyDescent="0.25">
      <c r="B45" s="127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9"/>
      <c r="P45" s="58"/>
    </row>
    <row r="46" spans="2:16" ht="20.100000000000001" customHeight="1" x14ac:dyDescent="0.25">
      <c r="B46" s="127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9"/>
      <c r="P46" s="58"/>
    </row>
    <row r="47" spans="2:16" ht="20.100000000000001" customHeight="1" x14ac:dyDescent="0.25">
      <c r="B47" s="127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9"/>
      <c r="P47" s="58"/>
    </row>
    <row r="48" spans="2:16" ht="20.100000000000001" customHeight="1" x14ac:dyDescent="0.25">
      <c r="B48" s="130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2"/>
      <c r="P48" s="58"/>
    </row>
    <row r="49" spans="2:16" ht="20.100000000000001" customHeight="1" x14ac:dyDescent="0.25">
      <c r="B49" s="119" t="s">
        <v>179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1"/>
      <c r="P49" s="58"/>
    </row>
    <row r="50" spans="2:16" ht="20.100000000000001" customHeight="1" x14ac:dyDescent="0.25">
      <c r="B50" s="124" t="s">
        <v>178</v>
      </c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6"/>
      <c r="P50" s="58"/>
    </row>
    <row r="51" spans="2:16" ht="20.100000000000001" customHeight="1" x14ac:dyDescent="0.25">
      <c r="B51" s="127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9"/>
      <c r="P51" s="58"/>
    </row>
    <row r="52" spans="2:16" ht="20.100000000000001" customHeight="1" x14ac:dyDescent="0.25">
      <c r="B52" s="127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9"/>
      <c r="P52" s="58"/>
    </row>
    <row r="53" spans="2:16" ht="20.100000000000001" customHeight="1" x14ac:dyDescent="0.25">
      <c r="B53" s="127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9"/>
      <c r="P53" s="58"/>
    </row>
    <row r="54" spans="2:16" ht="20.100000000000001" customHeight="1" x14ac:dyDescent="0.25">
      <c r="B54" s="130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2"/>
      <c r="P54" s="58"/>
    </row>
    <row r="55" spans="2:16" ht="20.100000000000001" customHeight="1" x14ac:dyDescent="0.25">
      <c r="B55" s="122" t="s">
        <v>180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23"/>
      <c r="P55" s="58"/>
    </row>
    <row r="56" spans="2:16" ht="20.100000000000001" customHeight="1" x14ac:dyDescent="0.25">
      <c r="B56" s="88" t="s">
        <v>181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9"/>
      <c r="P56" s="58" t="s">
        <v>182</v>
      </c>
    </row>
    <row r="57" spans="2:16" ht="20.100000000000001" customHeight="1" x14ac:dyDescent="0.25">
      <c r="B57" s="88" t="s">
        <v>183</v>
      </c>
      <c r="C57" s="97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9"/>
      <c r="P57" s="58" t="s">
        <v>123</v>
      </c>
    </row>
    <row r="58" spans="2:16" ht="20.100000000000001" customHeight="1" x14ac:dyDescent="0.25">
      <c r="B58" s="88" t="s">
        <v>179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9"/>
      <c r="P58" s="58" t="s">
        <v>184</v>
      </c>
    </row>
    <row r="59" spans="2:16" ht="20.100000000000001" customHeight="1" x14ac:dyDescent="0.25">
      <c r="B59" s="88" t="s">
        <v>177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9"/>
      <c r="P59" s="58" t="s">
        <v>185</v>
      </c>
    </row>
    <row r="60" spans="2:16" ht="20.100000000000001" customHeight="1" x14ac:dyDescent="0.25">
      <c r="B60" s="88" t="s">
        <v>186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9"/>
      <c r="P60" s="58" t="s">
        <v>187</v>
      </c>
    </row>
    <row r="61" spans="2:16" ht="20.100000000000001" customHeight="1" x14ac:dyDescent="0.25">
      <c r="B61" s="88" t="s">
        <v>188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9"/>
      <c r="P61" s="58" t="s">
        <v>189</v>
      </c>
    </row>
    <row r="62" spans="2:16" ht="20.100000000000001" customHeight="1" x14ac:dyDescent="0.25">
      <c r="B62" s="88" t="s">
        <v>190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1"/>
      <c r="P62" s="58" t="s">
        <v>191</v>
      </c>
    </row>
    <row r="63" spans="2:16" ht="20.100000000000001" customHeight="1" thickBot="1" x14ac:dyDescent="0.3">
      <c r="B63" s="91" t="s">
        <v>192</v>
      </c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6"/>
      <c r="P63" s="58" t="s">
        <v>193</v>
      </c>
    </row>
  </sheetData>
  <mergeCells count="21">
    <mergeCell ref="C1:P1"/>
    <mergeCell ref="C56:O56"/>
    <mergeCell ref="B2:C2"/>
    <mergeCell ref="B4:O4"/>
    <mergeCell ref="B8:O8"/>
    <mergeCell ref="B10:O10"/>
    <mergeCell ref="B26:O26"/>
    <mergeCell ref="B29:O29"/>
    <mergeCell ref="C30:N30"/>
    <mergeCell ref="B43:O43"/>
    <mergeCell ref="B49:O49"/>
    <mergeCell ref="B55:O55"/>
    <mergeCell ref="B44:O48"/>
    <mergeCell ref="B50:O54"/>
    <mergeCell ref="C63:O63"/>
    <mergeCell ref="C57:O57"/>
    <mergeCell ref="C58:O58"/>
    <mergeCell ref="C59:O59"/>
    <mergeCell ref="C60:O60"/>
    <mergeCell ref="C61:O61"/>
    <mergeCell ref="C62:O62"/>
  </mergeCells>
  <printOptions horizontalCentered="1"/>
  <pageMargins left="0" right="0" top="0.75" bottom="0.75" header="0.3" footer="0.3"/>
  <pageSetup paperSize="9" scale="56" orientation="landscape" r:id="rId1"/>
  <rowBreaks count="1" manualBreakCount="1">
    <brk id="43" max="16383" man="1"/>
  </rowBreaks>
  <ignoredErrors>
    <ignoredError sqref="C3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86464-c4a6-44c1-aa70-a9a48435731a" xsi:nil="true"/>
    <lcf76f155ced4ddcb4097134ff3c332f xmlns="590b9100-291e-4ef3-a884-b45ec2c74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2C8095E0B2D4ABAB40F40090F02D7" ma:contentTypeVersion="13" ma:contentTypeDescription="Create a new document." ma:contentTypeScope="" ma:versionID="000b7c5624839c831c0c9a5e6cd584f7">
  <xsd:schema xmlns:xsd="http://www.w3.org/2001/XMLSchema" xmlns:xs="http://www.w3.org/2001/XMLSchema" xmlns:p="http://schemas.microsoft.com/office/2006/metadata/properties" xmlns:ns2="590b9100-291e-4ef3-a884-b45ec2c748b5" xmlns:ns3="48b86464-c4a6-44c1-aa70-a9a48435731a" targetNamespace="http://schemas.microsoft.com/office/2006/metadata/properties" ma:root="true" ma:fieldsID="bdf9035f5b7c2be6700edd7bfd28a765" ns2:_="" ns3:_="">
    <xsd:import namespace="590b9100-291e-4ef3-a884-b45ec2c748b5"/>
    <xsd:import namespace="48b86464-c4a6-44c1-aa70-a9a4843573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b9100-291e-4ef3-a884-b45ec2c74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47fa31d-02bc-4710-b8fa-5b87ad77cd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6464-c4a6-44c1-aa70-a9a4843573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2f3bec8-c4c1-4a9e-84fb-2206023a46b1}" ma:internalName="TaxCatchAll" ma:showField="CatchAllData" ma:web="48b86464-c4a6-44c1-aa70-a9a4843573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6DC8FC-7201-409B-83B1-56317F96F8B4}">
  <ds:schemaRefs>
    <ds:schemaRef ds:uri="http://schemas.microsoft.com/office/2006/metadata/properties"/>
    <ds:schemaRef ds:uri="http://schemas.microsoft.com/office/infopath/2007/PartnerControls"/>
    <ds:schemaRef ds:uri="48b86464-c4a6-44c1-aa70-a9a48435731a"/>
    <ds:schemaRef ds:uri="590b9100-291e-4ef3-a884-b45ec2c748b5"/>
  </ds:schemaRefs>
</ds:datastoreItem>
</file>

<file path=customXml/itemProps2.xml><?xml version="1.0" encoding="utf-8"?>
<ds:datastoreItem xmlns:ds="http://schemas.openxmlformats.org/officeDocument/2006/customXml" ds:itemID="{A9D7FB26-7BE6-4CCA-BC2B-A8BD55E7341C}"/>
</file>

<file path=customXml/itemProps3.xml><?xml version="1.0" encoding="utf-8"?>
<ds:datastoreItem xmlns:ds="http://schemas.openxmlformats.org/officeDocument/2006/customXml" ds:itemID="{A920EDBD-1F85-4E3D-8434-4A0CEC0CA5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  <vt:lpstr>Consolidate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</dc:creator>
  <cp:keywords/>
  <dc:description/>
  <cp:lastModifiedBy>Siraj Ahmed</cp:lastModifiedBy>
  <cp:revision/>
  <dcterms:created xsi:type="dcterms:W3CDTF">2009-05-20T05:12:42Z</dcterms:created>
  <dcterms:modified xsi:type="dcterms:W3CDTF">2026-01-08T13:30:53Z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0x0101009582C8095E0B2D4ABAB40F40090F02D7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